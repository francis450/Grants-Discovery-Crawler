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Francis\Desktop\DSG\deepseek-ai-web-crawler\"/>
    </mc:Choice>
  </mc:AlternateContent>
  <xr:revisionPtr revIDLastSave="0" documentId="8_{3A8FAAC1-2BB1-4A27-9252-22C81820E146}" xr6:coauthVersionLast="47" xr6:coauthVersionMax="47" xr10:uidLastSave="{00000000-0000-0000-0000-000000000000}"/>
  <bookViews>
    <workbookView xWindow="-120" yWindow="-120" windowWidth="29040" windowHeight="15720" activeTab="1" xr2:uid="{00000000-000D-0000-FFFF-FFFF00000000}"/>
  </bookViews>
  <sheets>
    <sheet name="Statistics" sheetId="12" r:id="rId1"/>
    <sheet name="Submitted" sheetId="7" r:id="rId2"/>
    <sheet name="Grants" sheetId="1" r:id="rId3"/>
    <sheet name="From Automation" sheetId="9" r:id="rId4"/>
    <sheet name="For Fundraising" sheetId="3" r:id="rId5"/>
    <sheet name="Useful links" sheetId="6" r:id="rId6"/>
    <sheet name="Donations Subscriptions" sheetId="5" r:id="rId7"/>
    <sheet name="Not relevant-not qualified" sheetId="11" r:id="rId8"/>
  </sheets>
  <definedNames>
    <definedName name="_xlnm._FilterDatabase" localSheetId="1" hidden="1">Submitted!$A$1:$I$1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2" l="1"/>
  <c r="B2" i="12"/>
  <c r="C3" i="12" s="1"/>
  <c r="B5" i="12"/>
  <c r="B6" i="12"/>
  <c r="C6" i="12" s="1"/>
  <c r="B2" i="7"/>
  <c r="B4" i="12"/>
  <c r="C4" i="12" s="1"/>
  <c r="M29" i="6"/>
  <c r="C5" i="12" l="1"/>
</calcChain>
</file>

<file path=xl/sharedStrings.xml><?xml version="1.0" encoding="utf-8"?>
<sst xmlns="http://schemas.openxmlformats.org/spreadsheetml/2006/main" count="3401" uniqueCount="2358">
  <si>
    <t>Nos</t>
  </si>
  <si>
    <t>Percentage</t>
  </si>
  <si>
    <t>Total Grants identified</t>
  </si>
  <si>
    <t xml:space="preserve">Reviewed </t>
  </si>
  <si>
    <t>Not relevant or not-qualified Grants</t>
  </si>
  <si>
    <t>Total Application Processed</t>
  </si>
  <si>
    <t>Submitted/Application Completed</t>
  </si>
  <si>
    <t>**</t>
  </si>
  <si>
    <t>*Relevance classification is provisional and subject to confirmation following a full due-diligence review at the application stage.</t>
  </si>
  <si>
    <t xml:space="preserve">**Qualified grants is 20% of those whose full due diligence has been reviewed at application stage </t>
  </si>
  <si>
    <t>Organization Name / Grant Name</t>
  </si>
  <si>
    <t xml:space="preserve">Description </t>
  </si>
  <si>
    <t>Web Link</t>
  </si>
  <si>
    <t xml:space="preserve"> </t>
  </si>
  <si>
    <t>Operation Area</t>
  </si>
  <si>
    <t>Other notes</t>
  </si>
  <si>
    <t>Restrictions</t>
  </si>
  <si>
    <t>Date Submitted</t>
  </si>
  <si>
    <t>Notes</t>
  </si>
  <si>
    <t>Dell Foundation Grants</t>
  </si>
  <si>
    <t>https://www.dell.org</t>
  </si>
  <si>
    <t>East/South Africa</t>
  </si>
  <si>
    <t>&gt;$50K</t>
  </si>
  <si>
    <t>5.08.2025</t>
  </si>
  <si>
    <t>Team will get back to me within 3-5 business days</t>
  </si>
  <si>
    <t>Safaricom Foundation</t>
  </si>
  <si>
    <t>Funds community based projects in education, health, economic empowerment, and environment in Kenya.</t>
  </si>
  <si>
    <t>https://www.safaricomfoundation.org/application-form/</t>
  </si>
  <si>
    <t>Not publicly disclosed (project based)</t>
  </si>
  <si>
    <t>Kenya</t>
  </si>
  <si>
    <t>No guidelines published</t>
  </si>
  <si>
    <t>Kenya registered non profits only. Detailed budget, workplan, and sustainability required. No fundraising or operational costs.</t>
  </si>
  <si>
    <t>https://www.safaricomfoundation.org/</t>
  </si>
  <si>
    <t>Cisco Global Impact Cash Grants</t>
  </si>
  <si>
    <t>Funds scalable nonprofit programs using technology to serve underserved communities in education, economic empowerment, crisis response, or climate impact.</t>
  </si>
  <si>
    <t>https://www.cisco.com/site/us/en/about/purpose/social-impact/investments/global-impact-cash-grants.html</t>
  </si>
  <si>
    <t>405,300
Up to USD 75,000 (first time grantees)</t>
  </si>
  <si>
    <t>Global</t>
  </si>
  <si>
    <t>LOI first; full proposal by invitation. Must serve 65%+ economically underserved.</t>
  </si>
  <si>
    <t>Overhead max 25%. General operating costs not funded. Hardware/software purchases usually not funded unless highly innovative and no in kind option exists.</t>
  </si>
  <si>
    <t>Internet Society Foundation – SCILLS</t>
  </si>
  <si>
    <t>Supports communities and local orgs building or expanding local Internet infrastructure to connect unconnected rural or low income areas.</t>
  </si>
  <si>
    <t>https://www.isocfoundation.org/</t>
  </si>
  <si>
    <t xml:space="preserve">
100,000
USD 15,000 to 40,000 (new builds)
USD 5,000 to 20,000 (expansion)</t>
  </si>
  <si>
    <t>FAWCO Foundation Development Grants (LOI)</t>
  </si>
  <si>
    <t>Small development grants for specific nonprofit projects in education, environment, health, human rights, or global issues.</t>
  </si>
  <si>
    <t>https://docs.google.com/forms/d/e/1FAIpQLScy1d0mv9ANNAW795KX8ThSQ4uAiL0V1QEgBNvPC-AXVoL62w/viewform</t>
  </si>
  <si>
    <t>Winners announced March conference.</t>
  </si>
  <si>
    <t xml:space="preserve">Applicants must be nominated by a FAWCO club that has supported the organization for 6+ months with 3+ members involved. </t>
  </si>
  <si>
    <t>Dr. Scholl Foundation Grants (LOI)</t>
  </si>
  <si>
    <t>Funds nonprofit projects in education, social service, health care, civic/cultural, and environment.</t>
  </si>
  <si>
    <t>https://www.drschollfoundation.com/</t>
  </si>
  <si>
    <t>Primarily United States</t>
  </si>
  <si>
    <t>Two step process via portal (LOI first). One grant cycle per year.</t>
  </si>
  <si>
    <t>Requires IRS 501(c)(3) and 3+ years financial history. No grants to individuals, political orgs, other foundations, debt/deficit, endowments/capital campaigns, event sponsorships; general support not considered.</t>
  </si>
  <si>
    <t>Rotary Global Grants</t>
  </si>
  <si>
    <t>https://my.rotary.org/en/login</t>
  </si>
  <si>
    <t>Website doesnt say anythign about the grants. Its a login portal</t>
  </si>
  <si>
    <t>Michael and Susan Dell Foundation</t>
  </si>
  <si>
    <t>Funds social enterprises improving outcomes for children and youth in urban low income communities across education, health, and family economic stability</t>
  </si>
  <si>
    <t>https://www.dell.org/</t>
  </si>
  <si>
    <t>Africa, India, United States and Israel</t>
  </si>
  <si>
    <t>Single application used for all geographies.</t>
  </si>
  <si>
    <t>Does not fund requests for computers, laptops, tablets, or other hardware. Also excludes individuals, medical research, event sponsorships, lobbying, endowments, and infrastructure</t>
  </si>
  <si>
    <t>REJECTED: project location must be in the United States, India, Israel, or South Africa.will be put toward project support or efforts to scale.Funding will not be put toward general operating expenses or infrastructure.</t>
  </si>
  <si>
    <t>Mozilla Foundation Grants</t>
  </si>
  <si>
    <t>Funds projects and leaders building a better technology future (digital rights, AI accountability, tech for communities).</t>
  </si>
  <si>
    <t>https://www.mozillafoundation.org/en/</t>
  </si>
  <si>
    <t>Not a general “community grants” fund. Strong preference for tech policy, responsible tech, and ecosystem change work.</t>
  </si>
  <si>
    <t>Conrad N. Hilton Foundation</t>
  </si>
  <si>
    <t>Small grants for ministries led by Catholic sisters that deliver direct services to communities.</t>
  </si>
  <si>
    <t>http://www.hiltonfundforsisters.org/grants/</t>
  </si>
  <si>
    <t>Application must be presented by a vowed Catholic sister (or congregation governed ministry) with required involvement hours. No funding for salaries, construction/rent/utilities, vehicles (limited exceptions), tuition for specific students, debt, land/buildings, or large org budgets over USD 2M.</t>
  </si>
  <si>
    <t xml:space="preserve">DWF Foundation </t>
  </si>
  <si>
    <t>DWF Foundation supports registered NGOs working on homelessness, health and wellbeing, employability, education and environment and sustainability.</t>
  </si>
  <si>
    <t>https://dwfgroup.com/en/about-us/dwf-foundation</t>
  </si>
  <si>
    <t>max £5,000</t>
  </si>
  <si>
    <t>Primarily UK,Ireland</t>
  </si>
  <si>
    <t>Non-Profit</t>
  </si>
  <si>
    <t>28.01.2026</t>
  </si>
  <si>
    <t>max £5,000 ; mainly for companies in UK and Ireland</t>
  </si>
  <si>
    <t>Humanity Calls International</t>
  </si>
  <si>
    <t>https://humanitycallsinternational.org/organization_form.html</t>
  </si>
  <si>
    <t>SUBMITTED</t>
  </si>
  <si>
    <t>2.01.2026</t>
  </si>
  <si>
    <t>Theirworld</t>
  </si>
  <si>
    <t>Small NGO/project grants supporting children’s rights &amp; education</t>
  </si>
  <si>
    <t>(Theirworld)</t>
  </si>
  <si>
    <t>Early application window; Q&amp;A sessions offered</t>
  </si>
  <si>
    <t>04.02.2026</t>
  </si>
  <si>
    <t>submitted company details, they will check eligibilty and email us back</t>
  </si>
  <si>
    <t>Digital Equity Accelerator Program</t>
  </si>
  <si>
    <t>https://www.hp.com/us-en/sustainable-impact/digital-equity/digital-accelerator.html</t>
  </si>
  <si>
    <t>Non-Profits</t>
  </si>
  <si>
    <t> REJECTED: Be based and legally registered in the U.S., and have related programming primarily conducted in the U.S. '- Reach an average of 25,000 people annually. '- Have moved beyond the idea stage into execution, i.e., have active programs or initiatives that you will focus on during the program.</t>
  </si>
  <si>
    <t>Spectrum Digital Education Grants</t>
  </si>
  <si>
    <t>support nonprofits who provide digital skills training, professional advancement opportunities, and technology and resources needed for education.</t>
  </si>
  <si>
    <t>https://corporate.charter.com/digital-education/grants</t>
  </si>
  <si>
    <t>Primarily USA</t>
  </si>
  <si>
    <t>Nonprofit</t>
  </si>
  <si>
    <t>mainly USA, and show impact done last 1 year</t>
  </si>
  <si>
    <t>Lab2Market Validate</t>
  </si>
  <si>
    <t xml:space="preserve"> Educational Institution, NGO and Researcher</t>
  </si>
  <si>
    <t>https://www.lab2market.ca/validate</t>
  </si>
  <si>
    <t>applied as a researcher</t>
  </si>
  <si>
    <t>HP Cambridge Partnership for Education EdTech Fellowship</t>
  </si>
  <si>
    <t>is an exclusive global programme designed to empower senior education policymakers and organizational leaders to drive digital transformation in education systems. The fellowship aims to equip participants with the skills and knowledge to design and implement scalable, evidence-based EdTech strategies that address real-world educational challenges.</t>
  </si>
  <si>
    <t>https://grantsdatabase.org/2025/12/04/hp-cambridge-partnership-for-education-edtech-fellowship-2026</t>
  </si>
  <si>
    <t>mainly Middle East and North Africa</t>
  </si>
  <si>
    <t>Fellows for Government and NGO organixation</t>
  </si>
  <si>
    <t>applied as TOH EdTech Fellow; a five-month study programme, including a residential week in Cambridge,</t>
  </si>
  <si>
    <t>for MENA</t>
  </si>
  <si>
    <t>Close the Gap</t>
  </si>
  <si>
    <t>https://www.close-the-gap.org/apply-for-computers</t>
  </si>
  <si>
    <t>Close the Gap provides high-quality refurbished IT equipment for social and educational projects in low- and middle-income countries all around the world (mostly in Sub-Saharan Africa).</t>
  </si>
  <si>
    <t>applied for 20 computers</t>
  </si>
  <si>
    <t>TechSoup (Technology Donations &amp; Validation)</t>
  </si>
  <si>
    <t>https://www.techsoupkenya.or.ke/content/about-techsoup-kenya</t>
  </si>
  <si>
    <t>technology donation and discount programme, implemented
by the Kenya Community Development Foundation,</t>
  </si>
  <si>
    <t>Non-profit</t>
  </si>
  <si>
    <t>registered to be notified of opportunity</t>
  </si>
  <si>
    <t>F5 Tech for Good Grants</t>
  </si>
  <si>
    <t>https://www.f5.com/company/global-good</t>
  </si>
  <si>
    <t>requires organization that hae exited for more than 3 years</t>
  </si>
  <si>
    <t>Signup to be notified</t>
  </si>
  <si>
    <t>Mitigation Action Facility</t>
  </si>
  <si>
    <t>Climate action concept phase</t>
  </si>
  <si>
    <t>(Mitigation Action Facility)</t>
  </si>
  <si>
    <t>£5-25 Million</t>
  </si>
  <si>
    <t>CLOSING 2/25/2026</t>
  </si>
  <si>
    <t>ON-GOING</t>
  </si>
  <si>
    <t xml:space="preserve">CONCEPT NOTE: application on-going ;not for small projects </t>
  </si>
  <si>
    <t>Digital Education: Public-private partnerships for ethical design, development and use of Artificial Intelligence tools in education and training</t>
  </si>
  <si>
    <t>ERASMUS Lump Sum Grant [ERASMUS-AG-LS]</t>
  </si>
  <si>
    <t>https://ec.europa.eu/info/funding-tenders/opportunities/portal/screen/opportunities/topic-details/ERASMUS-EDU-2026-POL-EXP-T02-DIGITAL-ETHICSAI?order=DESC&amp;pageNumber=1&amp;pageSize=50&amp;sortBy=relevance&amp;keywords=digital%20education%20in%20africa&amp;isExactMatch=true&amp;status=31094502</t>
  </si>
  <si>
    <t xml:space="preserve">ERASMUS Lump Sum Grant </t>
  </si>
  <si>
    <t>DEADLINE 08 April 2026 17:00:00 Brussels time</t>
  </si>
  <si>
    <t>CONCEPT NOTE: TOH can participate as an “Associated Partner” (non-funded) in a consortium led by an eligible EU/associated-country organisation</t>
  </si>
  <si>
    <t>extension://mjdgandcagmikhlbjnilkmfnjeamfikk/https://ec.europa.eu/info/funding-tenders/opportunities/docs/2021-2027/erasmus/wp-call/2026/call-fiche_erasmus-edu-2026-pol-exp_en.pdf</t>
  </si>
  <si>
    <t>Funding available for Green and Digital Transition</t>
  </si>
  <si>
    <t>Estonian Centre for International Development Cooperation</t>
  </si>
  <si>
    <t>https://www2.fundsforngos.org/community-development/funding-available-for-green-and-digital-transition/</t>
  </si>
  <si>
    <t>Botswana, Kenya, Namibia, Zambia, Tanzania, Uganda</t>
  </si>
  <si>
    <t>18.01.2026</t>
  </si>
  <si>
    <t>CONCEPT NOTE: Submitted in Collaboration with UoN, WEC,WITS and Botswana</t>
  </si>
  <si>
    <t>EDUCATING ALL LEARNERS IN ALL LEARNING ENVIRONMENTS</t>
  </si>
  <si>
    <t>An alliance dedicated to support for students with disabilities and learning differences in USA</t>
  </si>
  <si>
    <t>My Applications - EALA New Champions Fund</t>
  </si>
  <si>
    <t>based and operates within the United States</t>
  </si>
  <si>
    <t>0.02.2026</t>
  </si>
  <si>
    <t>AJA Foundation Grants</t>
  </si>
  <si>
    <t>AJA Foundation</t>
  </si>
  <si>
    <t>About - AJA Foundation</t>
  </si>
  <si>
    <t>Rolling deadline</t>
  </si>
  <si>
    <t>They invite organizations to apply after they review letter of inquiry</t>
  </si>
  <si>
    <t>6.02.2026</t>
  </si>
  <si>
    <t>Moderna Charitable Foundation Grants</t>
  </si>
  <si>
    <t>Moderna Charitable Foundation Inc</t>
  </si>
  <si>
    <t>Moderna Charitable Foundation – Moderna</t>
  </si>
  <si>
    <t>Africa</t>
  </si>
  <si>
    <t>["Health Care Access &amp; Delivery", "Diseases &amp; Conditions", "Epidemiology &amp; Public Health"]</t>
  </si>
  <si>
    <t>The Moderna Charitable Foundation, established in 2022, aims to enhance public health and healthcare access while fostering scientific education and inclusion in underserved communities. Their initiatives include grant-making to aligned organizations, supporting humanitarian crises, and employee matching for personal causes. The Foundation focuses on building resilient health ecosystems, advancing STEM education, and addressing systemic barriers in communities, all while committed to addressing the ongoing impact of COVID-19.</t>
  </si>
  <si>
    <t>05.03.2026</t>
  </si>
  <si>
    <t>required audited accounts of last 3 years and atached EIN letter instead</t>
  </si>
  <si>
    <t>Instrumentl</t>
  </si>
  <si>
    <t>Strong match due to STEM education focus, Africa geographic alignment, and support for nonprofits in underserved communities; health themes require adaptation to link digital literacy/STEM via tech access.</t>
  </si>
  <si>
    <t>Apply under STEM education pillar, proposing refurbishment and distribution of IT equipment to Kenyan schools for digital literacy and technology programs that build scientific skills and address educational barriers in underserved areas.</t>
  </si>
  <si>
    <t>["STEM education", "scientific education", "underserved communities", "Africa"]</t>
  </si>
  <si>
    <t>New Earth Foundation Grant</t>
  </si>
  <si>
    <t>New Earth Foundation Inc.</t>
  </si>
  <si>
    <t>["Environmental Justice &amp; Advocacy", "Youth Development &amp; Leadership", "Economic Services &amp; Development"]</t>
  </si>
  <si>
    <t>06.03.2026</t>
  </si>
  <si>
    <t>https://www.instrumentl.com/grants/nef-grant</t>
  </si>
  <si>
    <t>Meets 4/5 min requirements: accepts nonprofits, not a contest, Africa focus, relates to e-waste/recycling and youth development. Strong alignment with sustainability (circular economy/e-waste), youth empowerment via tech access in schools, and Africa geography; suitable for new/small orgs.</t>
  </si>
  <si>
    <t>Frame application as innovative sustainability project refurbishing e-waste into tech for youth digital literacy in Kenyan schools, emphasizing community involvement, replication potential, and impact on environmental justice and youth leadership.</t>
  </si>
  <si>
    <t>["Environmental Justice &amp; Advocacy", "Youth Development &amp; Leadership"]</t>
  </si>
  <si>
    <t xml:space="preserve">problem with text code from global giving </t>
  </si>
  <si>
    <t>Grant Name</t>
  </si>
  <si>
    <t>Organization Name</t>
  </si>
  <si>
    <t>Webpage URL</t>
  </si>
  <si>
    <t>Geographic Focus</t>
  </si>
  <si>
    <t>Sector/Focus Area</t>
  </si>
  <si>
    <t>Qualifications/Eligibility</t>
  </si>
  <si>
    <t>Grant Amount (USD or EUR)</t>
  </si>
  <si>
    <t>Grant Call Open Date</t>
  </si>
  <si>
    <t>Submission Deadline</t>
  </si>
  <si>
    <t xml:space="preserve"> UNIDO UNCTAD Global Call</t>
  </si>
  <si>
    <t>https://grantsdatabase.org/2025/07/26/unido-unctad-global-call-for-inclusive-digital-economy-solutions-2025</t>
  </si>
  <si>
    <t>The UNIDO UNCTAD Global Call for Inclusive Digital Economy Solutions 2025 focuses on bridging the digital divide and enabling equal access to digital tools and services. With a specific emphasis on empowering women, youth, MSMEs, and marginalised populations, the call supports the creation of a more resilient, inclusive digital ecosystem.</t>
  </si>
  <si>
    <t>NOT OPEN</t>
  </si>
  <si>
    <t>8.08.2025</t>
  </si>
  <si>
    <t>Check out in June/July 2026</t>
  </si>
  <si>
    <t>2030 Digital Transformation Strategy</t>
  </si>
  <si>
    <t>African Union</t>
  </si>
  <si>
    <t>https://au.int/en/digital-transformation</t>
  </si>
  <si>
    <t>Continental digital inclusion</t>
  </si>
  <si>
    <t>Varies</t>
  </si>
  <si>
    <t>By invitation</t>
  </si>
  <si>
    <t>no open call</t>
  </si>
  <si>
    <t>Access to Learning Award (BMGF)</t>
  </si>
  <si>
    <t>https://www.gatesfoundation.org</t>
  </si>
  <si>
    <t>Grant Opportunities</t>
  </si>
  <si>
    <t>Up to $1M</t>
  </si>
  <si>
    <t xml:space="preserve">No open calls </t>
  </si>
  <si>
    <t>Grants for community learning centres</t>
  </si>
  <si>
    <t>no grant calls open</t>
  </si>
  <si>
    <t>Acer CSR / Education Programs</t>
  </si>
  <si>
    <t>Acer</t>
  </si>
  <si>
    <t xml:space="preserve">https://www.acer.com/us-en/education </t>
  </si>
  <si>
    <t>Education technology, sustainable computing</t>
  </si>
  <si>
    <t>varies</t>
  </si>
  <si>
    <t>more of CSR; reach out for donation</t>
  </si>
  <si>
    <t>Corporate Social Responsibility | Acer United States</t>
  </si>
  <si>
    <t>Addax Oryx Foundation</t>
  </si>
  <si>
    <t>Supports socio-economic and community development projects</t>
  </si>
  <si>
    <t>https://www.addaxoryxfoundation.org</t>
  </si>
  <si>
    <t>Helath, Education, community development, the environment</t>
  </si>
  <si>
    <t>Africa &amp; Middle East</t>
  </si>
  <si>
    <t>Multi-sector support</t>
  </si>
  <si>
    <t>submission of projects temporarily closed</t>
  </si>
  <si>
    <t>Adobe Foundation / Digital Literacy Programs</t>
  </si>
  <si>
    <t>Adobe</t>
  </si>
  <si>
    <t>https://www.adobe.com/nonprofits.html</t>
  </si>
  <si>
    <t>Creativity, digital literacy, access to creative tools.</t>
  </si>
  <si>
    <t>501(c)(3) or equivalent.</t>
  </si>
  <si>
    <t>each out for donation/CSR; applied for Adobe for non-profits using the techforkids email</t>
  </si>
  <si>
    <t>African Development Fund (ADF), various trust funds, Technical Assistance</t>
  </si>
  <si>
    <t>African Development Bank (AfDB) - various windows</t>
  </si>
  <si>
    <t>https://www.afdb.org/en</t>
  </si>
  <si>
    <t>Infrastructure, education, digital economy, climate change in Africa</t>
  </si>
  <si>
    <t>Governments, large NGOs, consortia</t>
  </si>
  <si>
    <t> </t>
  </si>
  <si>
    <t>African Women’s Development Fund (AWDF)</t>
  </si>
  <si>
    <t>Supports African women-led NGOs in leadership, rights, and economic justice</t>
  </si>
  <si>
    <t>(media-development.comminit.com)</t>
  </si>
  <si>
    <t>Rolling</t>
  </si>
  <si>
    <t>Focus on women’s rights, advocacy, and community impact</t>
  </si>
  <si>
    <t>women’s empowermen</t>
  </si>
  <si>
    <t>OPENING ON 5TH MAY 2026</t>
  </si>
  <si>
    <t>SUBMITTED ON 5TH MAY 2026</t>
  </si>
  <si>
    <t>AfriCircular Innovators Programme (and other ACEF initiatives</t>
  </si>
  <si>
    <t>Africa Circular Economy Facility (ACEF) / African Development Bank (AfDB)</t>
  </si>
  <si>
    <t>https://www.afdb.org/en/topics-and-sectors/topics/circular-economy/africa-circular-economy-facility-acef</t>
  </si>
  <si>
    <t>Fostering Africa's transformation to a circular economy. Supports innovators</t>
  </si>
  <si>
    <t>Organizations, startups, and initiatives working on circular economy solutions in Africa.</t>
  </si>
  <si>
    <t>Varies (e.g., AfriCircular Innovators Programme
 deadlines will be announced).</t>
  </si>
  <si>
    <t>OPENING MAY 3</t>
  </si>
  <si>
    <t>Aga Khan Foundation</t>
  </si>
  <si>
    <t>Livelihood &amp; education</t>
  </si>
  <si>
    <t>https://the.akdn/en/akf</t>
  </si>
  <si>
    <t>Africa/Asia</t>
  </si>
  <si>
    <t>Long-term development</t>
  </si>
  <si>
    <t>ROLLING OUT IN RWAND AT THE MOMENT</t>
  </si>
  <si>
    <t>AJWS</t>
  </si>
  <si>
    <t>Social justice funding</t>
  </si>
  <si>
    <t>https://ajws.org</t>
  </si>
  <si>
    <t>Global South</t>
  </si>
  <si>
    <t>NGO partnerships</t>
  </si>
  <si>
    <t xml:space="preserve">NOT OPEN YET </t>
  </si>
  <si>
    <t>Apple Education Initiatives / Community Grants</t>
  </si>
  <si>
    <t>Apple</t>
  </si>
  <si>
    <t>https://www.apple.com/ke/newsroom/2024/10/apple-launches-new-resources-for-teachers-expands-education-grant-program/</t>
  </si>
  <si>
    <t>Education (integrating Apple tech), creativity, digital literacy</t>
  </si>
  <si>
    <t>Focus on education, often tied to their ecosystem</t>
  </si>
  <si>
    <t>Ongoing</t>
  </si>
  <si>
    <t>OPENS APRIL 5</t>
  </si>
  <si>
    <t>Arcadia Fund</t>
  </si>
  <si>
    <t>Heritage &amp; conservation</t>
  </si>
  <si>
    <t>https://www.arcadiafund.org.uk</t>
  </si>
  <si>
    <t>Large private fund</t>
  </si>
  <si>
    <t>OPENS MARCH 31</t>
  </si>
  <si>
    <t>ARDF</t>
  </si>
  <si>
    <t>Funding for research replacing or reducing animal use in science</t>
  </si>
  <si>
    <t>(ardf-online.org)</t>
  </si>
  <si>
    <t>Up to $50,000</t>
  </si>
  <si>
    <t>20‑Feb‑2026</t>
  </si>
  <si>
    <t>Ethical science focus</t>
  </si>
  <si>
    <t>For medicl / clinical tetss</t>
  </si>
  <si>
    <t xml:space="preserve">APPLYING IT SENDING BUDGET TEMPLATE </t>
  </si>
  <si>
    <t>ARM Education Grants / Research Collaborations</t>
  </si>
  <si>
    <t>ARM</t>
  </si>
  <si>
    <t>https://www.armltd.org/arm-scholarship-education-fund/#:~:text=The%20Alkali%20Resource%20Management%20Education,each%20of%20ARM's%20fiscal%20year.</t>
  </si>
  <si>
    <t>Supporting academic research and education in computer science, engineering, and technology that utilizes ARM architecture. This includes providing IP, tools, technical support, and sometimes sponsorship of specific research projects.</t>
  </si>
  <si>
    <t>Academic institutions, research groups, potentially
 educational nonprofits with strong technical programs</t>
  </si>
  <si>
    <t>Ongoing/Project-specific</t>
  </si>
  <si>
    <t>Artificial Intelligence, Science, Talent Development</t>
  </si>
  <si>
    <t>Schmidt Futures</t>
  </si>
  <si>
    <t>https://www.schmidtsciences.org/</t>
  </si>
  <si>
    <t>Solving hard problems in science and society by supporting exceptional people and promising ideas (often involves technology).</t>
  </si>
  <si>
    <t>Highly competitive, focus on high-impact, scalable solutions.</t>
  </si>
  <si>
    <t>Ashoka</t>
  </si>
  <si>
    <t>Fellowship &amp; funding</t>
  </si>
  <si>
    <t>https://www.ashoka.org</t>
  </si>
  <si>
    <t>social entrepreneurs</t>
  </si>
  <si>
    <t>Innovation leaders</t>
  </si>
  <si>
    <t>ATC Foundation</t>
  </si>
  <si>
    <t>Grants for NGOs &amp; social enterprises working on scalable impact</t>
  </si>
  <si>
    <t>https://www.advance-africa.com</t>
  </si>
  <si>
    <t>Africa &amp; global</t>
  </si>
  <si>
    <t>Focus on systems change</t>
  </si>
  <si>
    <t>Atlassian Foundation Grants</t>
  </si>
  <si>
    <t>Atlassian Foundation</t>
  </si>
  <si>
    <t>https://www.atlassianfoundation.org/</t>
  </si>
  <si>
    <t>Improving educational opportunities for young people from underresourced communities, and supporting non-profit teams with tools</t>
  </si>
  <si>
    <t>Non-profits focused on education and social impact</t>
  </si>
  <si>
    <t>Autodesk Foundation Grants</t>
  </si>
  <si>
    <t>Autodesk Foundation</t>
  </si>
  <si>
    <t>https://www.autodesk.org/what-we-do/funding</t>
  </si>
  <si>
    <t>Provides catalytic capital to nonprofits and startups scaling solutions that transform industries to be more sustainable, equitable, and resilient. Focus on design and making a better world. E-waste is highly relevant here.</t>
  </si>
  <si>
    <t>Innovators working in their impact areas (sustainable
 infrastructure, regenerative design, equitable systems). Global reach</t>
  </si>
  <si>
    <t>$100,000 - $1,000,000 (most commitments $250k-
 $500k)</t>
  </si>
  <si>
    <t>Rolling application.</t>
  </si>
  <si>
    <t>AWS Imagine Grant</t>
  </si>
  <si>
    <t>Amazon Web Services (AWS)</t>
  </si>
  <si>
    <t>https://aws.amazon.com/government-education/nonprofits/aws-imagine-grant-program/</t>
  </si>
  <si>
    <t>Nonprofits leveraging cloud technology for mission-critical projects (Innovation in the Cloud, Momentum to Modernize).</t>
  </si>
  <si>
    <t>501(c)(3) in specific regions (US, UK, Ireland, Canada,
Australia, NZ). Check for specific Africa-focused rounds or pathways.</t>
  </si>
  <si>
    <t>Up to $100,000 in casH</t>
  </si>
  <si>
    <t>AWS Social Impact (Africa initiatives)</t>
  </si>
  <si>
    <t>https://aws.amazon.com/government-education/worldwide/social-impact/mea/</t>
  </si>
  <si>
    <t>: Digital skills gap, sustainability, health equity, empowering innovators in MEA.</t>
  </si>
  <si>
    <t>Varies, often through collaborations.</t>
  </si>
  <si>
    <t>Barclays Digital Eagles / Shared Growth Ambition (often local community grants</t>
  </si>
  <si>
    <t>Barclays</t>
  </si>
  <si>
    <t>https://digital.wings.uk.barclays/</t>
  </si>
  <si>
    <t>Digital skills, financial literacy, and community development</t>
  </si>
  <si>
    <t>Non-profits in communities where Barclays operates</t>
  </si>
  <si>
    <t>Barloworld Foundation</t>
  </si>
  <si>
    <t>Education &amp; youth empowerment</t>
  </si>
  <si>
    <t>https://www.barloworld.com</t>
  </si>
  <si>
    <t>Cycles</t>
  </si>
  <si>
    <t>Corporate foundation</t>
  </si>
  <si>
    <t>Beyond the Net Funding Program / Community Networks Grants</t>
  </si>
  <si>
    <t>Internet Society (ISOC)</t>
  </si>
  <si>
    <t>https://www.internetsociety.org/beyond-the-net/grants/</t>
  </si>
  <si>
    <t>Expanding Internet access, supporting community-led networks, digital literacy, open Internet policies.</t>
  </si>
  <si>
    <t>Internet Society Chapters, or partners in building community
 networks</t>
  </si>
  <si>
    <t>Bloomberg Philanthropies</t>
  </si>
  <si>
    <t>Cities &amp; environment</t>
  </si>
  <si>
    <t>https://www.bloomberg.org</t>
  </si>
  <si>
    <t>Large scale</t>
  </si>
  <si>
    <t>Urban impact</t>
  </si>
  <si>
    <t>Blue Meridian Partners</t>
  </si>
  <si>
    <t>High-impact NGOs</t>
  </si>
  <si>
    <t>https://www.bluemeridian.org</t>
  </si>
  <si>
    <t>Strategic partnerships</t>
  </si>
  <si>
    <t>Box.org Grants (Box Impact Fund)</t>
  </si>
  <si>
    <t>Box.org</t>
  </si>
  <si>
    <t>https://www.box.org/impact-fund</t>
  </si>
  <si>
    <t>Child welfare, crisis response, and the environment. They also provide discounts on their products to nonprofits for digital transformation</t>
  </si>
  <si>
    <t>Non-profits aligning with their focus areas</t>
  </si>
  <si>
    <t>British Freelands Foundation Visual Arts Award</t>
  </si>
  <si>
    <t>£100,000 each for innovative visual art education</t>
  </si>
  <si>
    <t>Freelands Awards 2026 | Apply | Freelands Foundation</t>
  </si>
  <si>
    <t>£100,000 (each)</t>
  </si>
  <si>
    <t>UK</t>
  </si>
  <si>
    <t>Supports art education orgs</t>
  </si>
  <si>
    <t>for a recent or ongoing project demonstrating commitment to progressive art education approaches with a demonstrable impact. </t>
  </si>
  <si>
    <t>Brother's Brother Foundation (separate from Brother corporate)</t>
  </si>
  <si>
    <t>Brother International Foundation</t>
  </si>
  <si>
    <t>https://brothersbrother.org/programs/education/</t>
  </si>
  <si>
    <t>International relief and development, including healthcare, infrastructure, disaster response, and education. They often provide medical supplies, educational materials, etc</t>
  </si>
  <si>
    <t>Non-profits working in developing countries.</t>
  </si>
  <si>
    <t>ongoing</t>
  </si>
  <si>
    <t>Business &amp; Human Rights Resource Centre</t>
  </si>
  <si>
    <t>Supports rights‑based NGO work on equitable transitions</t>
  </si>
  <si>
    <t>~€87,500</t>
  </si>
  <si>
    <t>Early 2026</t>
  </si>
  <si>
    <t>Kenya &amp; South Africa</t>
  </si>
  <si>
    <t>Sector‑specific NGO support</t>
  </si>
  <si>
    <t>for civil society organisations advocating for just rights in Renewable energy, Agribusiness, Textile </t>
  </si>
  <si>
    <t>Call for Submissions</t>
  </si>
  <si>
    <t>https://grantsdatabase.org/2025/06/24/call-for-submissions-innovating-education-in-africa-2025-now-open</t>
  </si>
  <si>
    <t>Africa’s education sector continues to face deep-rooted challenges in access, equity, and quality. In response, the African Union (AU), through the Innovating Education in Africa (IEA) initiative, has officially launched the Call for Submissions: Innovating Education in Africa 2025, inviting organizations across the continent to share and scale their proven education innovations.</t>
  </si>
  <si>
    <t>Legally Registered Organizations</t>
  </si>
  <si>
    <t>up to USD 50,000</t>
  </si>
  <si>
    <t>Open</t>
  </si>
  <si>
    <t>June 30, 2025, 23:00 GMT</t>
  </si>
  <si>
    <t>Calouste Gulbenkian Foundation</t>
  </si>
  <si>
    <t>Supports artistic creation across disciplines</t>
  </si>
  <si>
    <t>(Fundação Calouste Gulbenkian)</t>
  </si>
  <si>
    <t>Up to €16,000</t>
  </si>
  <si>
    <t>06‑Mar‑2026</t>
  </si>
  <si>
    <t>Arts &amp; performance grants</t>
  </si>
  <si>
    <t>for Artistic Creation</t>
  </si>
  <si>
    <t>Capgemini Foundation (Digital Inclusion)</t>
  </si>
  <si>
    <t>Capgemini</t>
  </si>
  <si>
    <t>https://www.capgemini.com/us-en/about-us/csr/digital-inclusion/</t>
  </si>
  <si>
    <t>Digital inclusion, education, digital literacy, and supporting disadvantaged individuals to access the digital world.</t>
  </si>
  <si>
    <t>Non-profits working on digital inclusion</t>
  </si>
  <si>
    <t>Catalyst Fund</t>
  </si>
  <si>
    <t>The Roddenberry Foundation</t>
  </si>
  <si>
    <t>https://roddenberryfoundation.org/our-work/catalyst-fund/</t>
  </si>
  <si>
    <t>Tech for good</t>
  </si>
  <si>
    <t>$2.5K–$15K</t>
  </si>
  <si>
    <t>Charles Stewart Mott Foundation</t>
  </si>
  <si>
    <t>https://www.mott.org</t>
  </si>
  <si>
    <t>Supports community development &amp; civic engagement</t>
  </si>
  <si>
    <t>NGO strengthening</t>
  </si>
  <si>
    <t>ChildHub</t>
  </si>
  <si>
    <t>Environment-focused NGO grants</t>
  </si>
  <si>
    <t>(locallink.childhub.org)</t>
  </si>
  <si>
    <t>West &amp; Central Africa</t>
  </si>
  <si>
    <t>NGO environmental work</t>
  </si>
  <si>
    <t>Burkina Faso, Niger, Senegal</t>
  </si>
  <si>
    <t>Christensen Fund</t>
  </si>
  <si>
    <t>https://www.christensenfund.org</t>
  </si>
  <si>
    <t>Indigenous &amp; cultural resilience funding</t>
  </si>
  <si>
    <t>Community-led projects</t>
  </si>
  <si>
    <t>CIFF</t>
  </si>
  <si>
    <t>https://ciff.org</t>
  </si>
  <si>
    <t>Child-focused funding</t>
  </si>
  <si>
    <t>Youth programs</t>
  </si>
  <si>
    <t>Circular Economy Initiatives (often partnerships, not direct grants to NGO</t>
  </si>
  <si>
    <t>Ellen MacArthur Foundation</t>
  </si>
  <si>
    <t>https://www.ellenmacarthurfoundation.org/circular-economy-in-africa/overview</t>
  </si>
  <si>
    <t>Accelerating the transition to a circular economy globally.</t>
  </si>
  <si>
    <t>Organizations committed to circular economy principles</t>
  </si>
  <si>
    <t>Circular Foodservice Innovation Fund</t>
  </si>
  <si>
    <t>Support for reusable systems replacing single‑use items</t>
  </si>
  <si>
    <t>(toronto.ca)</t>
  </si>
  <si>
    <t>Up to $35,000</t>
  </si>
  <si>
    <t>01‑Mar‑2026</t>
  </si>
  <si>
    <t>Canada &amp; partners</t>
  </si>
  <si>
    <t>Sustainability &amp; circular economy</t>
  </si>
  <si>
    <t>Circular Food Innovators Fund</t>
  </si>
  <si>
    <t>the grant said it give supto $75,000 dont apply for more</t>
  </si>
  <si>
    <t>Cisco Networking Academy Partner Program</t>
  </si>
  <si>
    <t>Cisco Networking Academy</t>
  </si>
  <si>
    <t>https://www.netacad.com/</t>
  </si>
  <si>
    <t>Provides IT and cybersecurity education programs to schools and organizations globally. Not a grant for your organization to run labs, but a program your labs can host.</t>
  </si>
  <si>
    <t>Educational institutions, non-profits with a learning component.</t>
  </si>
  <si>
    <t>Citi Foundation Grants (e.g., Pathways to Progress, Youth Business International partnerships)</t>
  </si>
  <si>
    <t>Citi Foundation</t>
  </si>
  <si>
    <t>https://www.citigroup.com/global/foundation/apply-for-funding</t>
  </si>
  <si>
    <t>Promoting economic progress and improving lives in low-income communities. Focus on youth employment, financial inclusion, and urban</t>
  </si>
  <si>
    <t>Non-profits, often through partnerships.</t>
  </si>
  <si>
    <t>Coding for Employment</t>
  </si>
  <si>
    <t>African Development Bank</t>
  </si>
  <si>
    <t>https://www.afdb.org</t>
  </si>
  <si>
    <t>Digital skills, youth</t>
  </si>
  <si>
    <t>Collaborative initiatives, research funding</t>
  </si>
  <si>
    <t>The Platform for Accelerating the Circular Economy (PACE)</t>
  </si>
  <si>
    <t>https://pacecircular.org/</t>
  </si>
  <si>
    <t>Driving the circular economy agenda at speed and scale</t>
  </si>
  <si>
    <t>Organizations working on circular economy</t>
  </si>
  <si>
    <t>Community Foundations Network</t>
  </si>
  <si>
    <t>https://www.cof.org</t>
  </si>
  <si>
    <t>Micro-grants</t>
  </si>
  <si>
    <t>Continuous</t>
  </si>
  <si>
    <t>Various</t>
  </si>
  <si>
    <t>Local opportunities</t>
  </si>
  <si>
    <t>Computer Lab Sponsorship</t>
  </si>
  <si>
    <t>Moja Tu (Kenya-focused, partnership with Techlit Africa)</t>
  </si>
  <si>
    <t>https://mojatu.org/ways-to-give/computer-lab/</t>
  </si>
  <si>
    <t>Establishing computer labs in underserved rural primary schools in Kenya</t>
  </si>
  <si>
    <t>Organizations or individuals looking to sponsor computer
 labs in rural Kenya. You could be a partner or a sponsored entity.</t>
  </si>
  <si>
    <t>3,000 (full sponsorship for one year) / $1,500 (cosponsorship)</t>
  </si>
  <si>
    <t>Connect To Learn (part of broader CSR)</t>
  </si>
  <si>
    <t>Ericsson</t>
  </si>
  <si>
    <t>https://benevity.com/resources/types-of-corporate-social-responsibility</t>
  </si>
  <si>
    <t>Connecting schools in remote areas, providing ICT technologies, scholarships.</t>
  </si>
  <si>
    <t>Often through partnerships with large NGOs or governments.</t>
  </si>
  <si>
    <t>Connectivity Lab</t>
  </si>
  <si>
    <t>Meta</t>
  </si>
  <si>
    <t>https://about.meta.com</t>
  </si>
  <si>
    <t>Digital inclusivity</t>
  </si>
  <si>
    <t>Conrad Hilton Fund for Sisters</t>
  </si>
  <si>
    <t>https://www.hiltonfundforsisters.org</t>
  </si>
  <si>
    <t>Humanitarian work</t>
  </si>
  <si>
    <t>Faith-based orgs</t>
  </si>
  <si>
    <t>CSR/Sustainable Impact Initiatives</t>
  </si>
  <si>
    <t>Dell Technologies</t>
  </si>
  <si>
    <t>https://www.dell.com/en-us/dt/corporate/social-impact/advancing-sustainability.htm</t>
  </si>
  <si>
    <t>Advancing sustainability, cultivating inclusion, transforming lives with tech (e-waste, digital access).</t>
  </si>
  <si>
    <t>Partnerships, potentially in-kind donations or targeted funding.</t>
  </si>
  <si>
    <t>curaJOY Summer Impact Fellowship</t>
  </si>
  <si>
    <t>https://grantsdatabase.org/2025/06/18/curajoy-summer-impact-fellowship-2025-paid-ai-research-opportunity-for-youth</t>
  </si>
  <si>
    <t>curaJOY is a global nonprofit using technology and storytelling to support children’s emotional resilience and family bonding. The Summer Impact Fellowship is their flagship 7-week program that immerses selected students in AI development, behavioral health research, and social impact projects. The 2025 cohort will bring together 12 fellows to work on two dynamic tracks: Tech and Research.</t>
  </si>
  <si>
    <t xml:space="preserve">Leaders in public, non-profit, or international organisations </t>
  </si>
  <si>
    <t>Closed</t>
  </si>
  <si>
    <t>Cyber Security Grants Program (via The Grants Office)</t>
  </si>
  <si>
    <t>Check Point Software</t>
  </si>
  <si>
    <t>https://www.checkpoint.com/industry/government-federal-security/grants-office-program/</t>
  </si>
  <si>
    <t>Bridging gaps in cybersecurity for public sector organizations (including education).</t>
  </si>
  <si>
    <t>Organizations with cybersecurity needs</t>
  </si>
  <si>
    <t>CyberAcdcemy / Unit 42 (research) / CSR</t>
  </si>
  <si>
    <t>Palo Alto Networks</t>
  </si>
  <si>
    <t>https://www.paloaltonetworks.com/cyberpedia/free-cybersecurity-education-courses</t>
  </si>
  <si>
    <t>Cybersecurity education, workforce development, secure digital environments.</t>
  </si>
  <si>
    <t>Educational institutions, non-profits.</t>
  </si>
  <si>
    <t>Czech Challenge Fund</t>
  </si>
  <si>
    <t>https://tinyurl.com/2zecm2w5</t>
  </si>
  <si>
    <t>Supports SDG-aligned innovation projects</t>
  </si>
  <si>
    <t>~$20,000–40,000</t>
  </si>
  <si>
    <t>Variable</t>
  </si>
  <si>
    <t>Ethiopia &amp; Zambia</t>
  </si>
  <si>
    <t>Innovation for sustainable development</t>
  </si>
  <si>
    <t>Data and AI for Good</t>
  </si>
  <si>
    <t>Patrick J. McGovern Foundation</t>
  </si>
  <si>
    <t>https://www.mcgovern.org/</t>
  </si>
  <si>
    <t>Advancing AI and data science for social impact, including digital inclusion and education.</t>
  </si>
  <si>
    <t>Projects using data/AI for social good.</t>
  </si>
  <si>
    <t>Dell Technologies CSR</t>
  </si>
  <si>
    <t>FEBRUARY</t>
  </si>
  <si>
    <t>Dell Technologies Social Impact Grants</t>
  </si>
  <si>
    <t>Deloitte Impact Foundation / WorldClass Initiative</t>
  </si>
  <si>
    <t>Deloitte</t>
  </si>
  <si>
    <t>https://www.deloitte.com/za/en/about/people/social-responsibility/worldclass-empowering-100-million-people.html</t>
  </si>
  <si>
    <t>Education, workforce development, skills building for the future of work. Deloitte WorldClass aims to improve education and skills for millions.</t>
  </si>
  <si>
    <t>Non-profits, educational institutions.</t>
  </si>
  <si>
    <t>Democratic Practice, Peacebuilding, Sustainable Development</t>
  </si>
  <si>
    <t>The Rockefeller Brothers Fund</t>
  </si>
  <si>
    <t>https://www.rbf.org/</t>
  </si>
  <si>
    <t>While not directly tech-focused, they support sustainable development and often integrate technology in their funded initiatives</t>
  </si>
  <si>
    <t>Deutsche Bank Made for Good (social enterprise program) / Corporate Social Responsibility</t>
  </si>
  <si>
    <t>Deutsche Bank</t>
  </si>
  <si>
    <t>https://country.db.com/asia-pacific/corporate-social-responsibility/made-for-good/index?language_id=1</t>
  </si>
  <si>
    <t>Supporting social enterprises, promoting education, and community development. Focus on sustainable social impact.</t>
  </si>
  <si>
    <t>Social enterprises, non-profits</t>
  </si>
  <si>
    <t>Development Innovation Ventures</t>
  </si>
  <si>
    <t>USAID</t>
  </si>
  <si>
    <t>https://www.usaid.gov/div</t>
  </si>
  <si>
    <t>Tech for development</t>
  </si>
  <si>
    <t>$50K–$5M</t>
  </si>
  <si>
    <t>Development Innovation Ventures (DIV) (USAID partnership)</t>
  </si>
  <si>
    <t>Global Innovation Fund (GIF)</t>
  </si>
  <si>
    <t>https://www.globalinnovation.fund/apply-for-funding</t>
  </si>
  <si>
    <t>Supporting breakthrough solutions to global development challenges, including education and technology. Focus on rigorous evidence and scalability</t>
  </si>
  <si>
    <t>Global, including Africa. Innovation-focused, evidencebased</t>
  </si>
  <si>
    <t>Device Challenge &amp; Grants</t>
  </si>
  <si>
    <t>NetHope</t>
  </si>
  <si>
    <t>https://nethope.org</t>
  </si>
  <si>
    <t>Connectivity for nonprofits</t>
  </si>
  <si>
    <t>DigiLab Program</t>
  </si>
  <si>
    <t>Mastercard Foundation</t>
  </si>
  <si>
    <t>https://mastercardfoundation.org</t>
  </si>
  <si>
    <t>Digital skills in schools</t>
  </si>
  <si>
    <t>~$100K+</t>
  </si>
  <si>
    <t>2025</t>
  </si>
  <si>
    <t>Digital Africa Initiative, EduTech Africa Programs, Circular Economy</t>
  </si>
  <si>
    <t>German Federal Ministry for Economic Cooperation and Development (BMZ) / G</t>
  </si>
  <si>
    <t>https://www.bmz-digital.global/en/digital-economy-for-africa-initiative-for-world-bank/</t>
  </si>
  <si>
    <t>Digital transformation, education, sustainable development, vocational training in Africa. Strong e-waste focus in their circular economy efforts</t>
  </si>
  <si>
    <t>Often through implementing partners (GIZ) or direct calls</t>
  </si>
  <si>
    <t>Digital Centers</t>
  </si>
  <si>
    <t>Orange Foundation</t>
  </si>
  <si>
    <t>https://fondationorange.com</t>
  </si>
  <si>
    <t>Francophone Africa</t>
  </si>
  <si>
    <t>Digital education &amp; ICT</t>
  </si>
  <si>
    <t>In-kind</t>
  </si>
  <si>
    <t>Digital Common Goods, Education &amp; Vocational Training, Green &amp; Sustainable Cities</t>
  </si>
  <si>
    <t>AFD (Agence Française de Développement)</t>
  </si>
  <si>
    <t>https://www.afd.fr/en/grants-development-priority-countries</t>
  </si>
  <si>
    <t>Sustainable development, education, digital transition, climate change in developing countries, including Africa.</t>
  </si>
  <si>
    <t>Varies, often for large development project</t>
  </si>
  <si>
    <t>Digital Development, Education, Climate &amp; Environment (often through partner organizations)</t>
  </si>
  <si>
    <t>Swedish International Development Cooperation Agency (SIDA)</t>
  </si>
  <si>
    <t>https://www.sida.se/en/about-sida/publications/digitalisation-and-multidimensional-poverty</t>
  </si>
  <si>
    <t>Poverty reduction, democratic governance, education, environment, digital development.</t>
  </si>
  <si>
    <t>Often for organizations with established partnerships or
 those addressing specific development challenges</t>
  </si>
  <si>
    <t>Digital Education, Women's Digital Centers</t>
  </si>
  <si>
    <t>Orange Foundation (part of Orange telecom)</t>
  </si>
  <si>
    <t>https://www.fondationorange.com/en/newsroom/news/2025/call-projects-education-back-school</t>
  </si>
  <si>
    <t>Digital inclusion, particularly for youth and women, in countries where Orange operates (including many in Africa).</t>
  </si>
  <si>
    <t>Projects promoting digital inclusion</t>
  </si>
  <si>
    <t>Digital Education, Women's Digital Centers, Youth
 Programs</t>
  </si>
  <si>
    <t>Orange Foundation (Africa focus through subsidiaries)</t>
  </si>
  <si>
    <t>Digital inclusion, particularly for youth and women, in countries
 where Orange operates (many African countries)</t>
  </si>
  <si>
    <t>Varies by program/region</t>
  </si>
  <si>
    <t>Digital Financial Inclusion</t>
  </si>
  <si>
    <t>ADFI</t>
  </si>
  <si>
    <t>https://www.africadfi.org</t>
  </si>
  <si>
    <t>e-banking</t>
  </si>
  <si>
    <t>Undisclosed</t>
  </si>
  <si>
    <t>Digital Food Security Tech</t>
  </si>
  <si>
    <t>WFP Innovation Accelerator</t>
  </si>
  <si>
    <t>https://innovation.wfp.org</t>
  </si>
  <si>
    <t>Tech in food access</t>
  </si>
  <si>
    <t>Up to $100K</t>
  </si>
  <si>
    <t>Quarterly</t>
  </si>
  <si>
    <t>Digital Learning Centres</t>
  </si>
  <si>
    <t>Camara</t>
  </si>
  <si>
    <t>https://www.camara.org</t>
  </si>
  <si>
    <t>Kenya/Ethiopia</t>
  </si>
  <si>
    <t>Refurbished IT + training</t>
  </si>
  <si>
    <t>Digital Power / Opportunity</t>
  </si>
  <si>
    <t>Rockefeller Foundation</t>
  </si>
  <si>
    <t>https://www.rockefellerfoundation.org/</t>
  </si>
  <si>
    <t>Advancing human opportunity and addressing global challenges, with a growing focus on digital inclusion and renewable energy access.</t>
  </si>
  <si>
    <t>Digital Schools Initiative</t>
  </si>
  <si>
    <t>Orange</t>
  </si>
  <si>
    <t>https://www.orange.com</t>
  </si>
  <si>
    <t>School ICT labs</t>
  </si>
  <si>
    <t>Digital Society Grants</t>
  </si>
  <si>
    <t>Omidyar Network</t>
  </si>
  <si>
    <t>https://omidyar.com</t>
  </si>
  <si>
    <t>Digital rights, access</t>
  </si>
  <si>
    <t>Digital Strategy, Education, Environment Programs (often country-specific RFPs)</t>
  </si>
  <si>
    <t>United States Agency for International Development (USAID</t>
  </si>
  <si>
    <t>https://www.usgrants.org/agency/kenya-usaid-nairobi</t>
  </si>
  <si>
    <t>Digital transformation, basic education, workforce development, environmental protection (including e-waste).</t>
  </si>
  <si>
    <t>Varies widely, often for experienced implementing partners,
 sometimes local organizations</t>
  </si>
  <si>
    <t>Specific deadlines per RFP.</t>
  </si>
  <si>
    <t>Digital Transformation Centres Initiative</t>
  </si>
  <si>
    <t>ITU</t>
  </si>
  <si>
    <t>https://www.itu.int/en/ITU-D/Digital-Inclusion/Pages/DTC.aspx</t>
  </si>
  <si>
    <t>Capacity building, digital literacy</t>
  </si>
  <si>
    <t>Digital X</t>
  </si>
  <si>
    <t>UNDP</t>
  </si>
  <si>
    <t>https://digitalx.undp.org</t>
  </si>
  <si>
    <t>Digital inclusion solutions</t>
  </si>
  <si>
    <t>$10K–$100K</t>
  </si>
  <si>
    <t>Digital4Development (D4D) Hub, Global Gateway, various calls under Education, Environment, and Connectivity</t>
  </si>
  <si>
    <t>European Union (EU) / European Commission</t>
  </si>
  <si>
    <t>https://d4dhub.eu/</t>
  </si>
  <si>
    <t>Digital transformation, education, sustainable development, connectivity, green economy in Africa.</t>
  </si>
  <si>
    <t>Often requires consortia, specific expertise</t>
  </si>
  <si>
    <t>Specific deadlines per call</t>
  </si>
  <si>
    <t>DocuSign IMPACT (part of their CSR)</t>
  </si>
  <si>
    <t>DocuSign</t>
  </si>
  <si>
    <t>https://www.docusign.com/company/impact</t>
  </si>
  <si>
    <t>Digital transformation for nonprofits, environmental sustainability, social justice, and humanitarian aid. They aim to accelerate the good work of nonprofit</t>
  </si>
  <si>
    <t>Non-profits</t>
  </si>
  <si>
    <t>varies/ongoing</t>
  </si>
  <si>
    <t>Draper Richards Kaplan Foundation</t>
  </si>
  <si>
    <t>https://www.drkfoundation.org</t>
  </si>
  <si>
    <t>Early-stage social impact orgs</t>
  </si>
  <si>
    <t>$25k–50k</t>
  </si>
  <si>
    <t>NGO capacity building</t>
  </si>
  <si>
    <t xml:space="preserve">Draper Richards Kaplan Foundation </t>
  </si>
  <si>
    <t>Organizations addressing an urgent or critical social or environmental problem in an innovative fashion and in a way that directly benefits underserved populations.</t>
  </si>
  <si>
    <t>https://www.drkfoundation.org/apply-for-funding/what-we-fund/</t>
  </si>
  <si>
    <t>Africa, Europe, India, Latam and the United States</t>
  </si>
  <si>
    <t>up to $300,000 USD for 3 years</t>
  </si>
  <si>
    <t>Open rolling applications</t>
  </si>
  <si>
    <t>They only fund post-pilot non profits</t>
  </si>
  <si>
    <t>No.
After we make our first pilot we can apply</t>
  </si>
  <si>
    <t>Dropbox Foundation</t>
  </si>
  <si>
    <t>Dropbox</t>
  </si>
  <si>
    <t>https://www.dropbox.foundation/about#:~:text=About%2075%25%20of%20grants%20to,to%20meet%20their%20greatest%20needs.</t>
  </si>
  <si>
    <t>Human rights, justice, and environmental sustainability. They aim to empower organizations addressing these issues.</t>
  </si>
  <si>
    <t>Echoing Green</t>
  </si>
  <si>
    <t>https://echoinggreen.org</t>
  </si>
  <si>
    <t>Emerging social leaders</t>
  </si>
  <si>
    <t>~$80k</t>
  </si>
  <si>
    <t>Annual</t>
  </si>
  <si>
    <t>Startup social orgs</t>
  </si>
  <si>
    <t>EdTech Africa</t>
  </si>
  <si>
    <t>IFC</t>
  </si>
  <si>
    <t>https://www.ifc.org</t>
  </si>
  <si>
    <t>Digital inclusion finance</t>
  </si>
  <si>
    <t>$100K–$500K</t>
  </si>
  <si>
    <t>Q4 2025</t>
  </si>
  <si>
    <t>EdTech Hub</t>
  </si>
  <si>
    <t>UK FCDO</t>
  </si>
  <si>
    <t>https://edtechhub.org</t>
  </si>
  <si>
    <t>Research &amp; scalable edtech</t>
  </si>
  <si>
    <t>Education &amp; Leadership Development, Innovation &amp; Entrepreneurship (partners with others like Huawei ICT Academy).</t>
  </si>
  <si>
    <t>Equity Group Foundation (Kenya-based)</t>
  </si>
  <si>
    <t>https://equitygroupfoundation.com/</t>
  </si>
  <si>
    <t>Youth education, digital skills, financial literacy, social protection in Kenya and East Africa</t>
  </si>
  <si>
    <t>Youth, educational institutions, community groups</t>
  </si>
  <si>
    <t>Education for Development, Climate &amp; Environment, Digital Transformatio</t>
  </si>
  <si>
    <t>NORAD (Norwegian Agency for Development Cooperation)</t>
  </si>
  <si>
    <t>https://www.norad.no/en/thematic-areas/thematic-areas-in-norwegian-aid/education-and-research/</t>
  </si>
  <si>
    <t>Education, climate, sustainable development, digital public goods.</t>
  </si>
  <si>
    <t>Education Innovation Fund (QCoal)</t>
  </si>
  <si>
    <t>Community-focused initiatives</t>
  </si>
  <si>
    <t>(QCoal Foundation |)</t>
  </si>
  <si>
    <t>Australia</t>
  </si>
  <si>
    <t>Regional development focus</t>
  </si>
  <si>
    <t>Education Scholarship Scheme, Community Projects</t>
  </si>
  <si>
    <t>Co-operative Bank Foundation (Kenya)</t>
  </si>
  <si>
    <t>https://foundation.co-opbank.co.ke/</t>
  </si>
  <si>
    <t>Education, youth empowerment, community development in Kenya</t>
  </si>
  <si>
    <t>Kenyan students, communities</t>
  </si>
  <si>
    <t>Education, Health, Economic Empowerment, Environmental Conservation.</t>
  </si>
  <si>
    <t>Safaricom Foundation (Kenya specific, part of M-Pesa ecosystem)</t>
  </si>
  <si>
    <t>https://www.safaricomfoundation.org/ndotozetu/</t>
  </si>
  <si>
    <t>Strong focus on digital literacy, access to education, and sustainable development within Kenya</t>
  </si>
  <si>
    <t>Registered Kenyan CBOs, NGOs.</t>
  </si>
  <si>
    <t>EEP Africa (Focus on clean energy, includes e-waste toolkit development)</t>
  </si>
  <si>
    <t>Nordic Development Fund (NDF) / EEP Africa</t>
  </si>
  <si>
    <t>https://eepafrica.org/financing</t>
  </si>
  <si>
    <t>Supporting early-stage clean energy projects, technologies, and business models in Southern and East Africa. Strong focus on circular economy solutions and e-waste mitigation from clean energy projects.</t>
  </si>
  <si>
    <t>Early-stage clean energy companies/projects in Southern and
 East Africa</t>
  </si>
  <si>
    <t>EIZO CSR (less explicit grant program, but may respond to large in-kind requests)</t>
  </si>
  <si>
    <t>EIZO (Monitors)</t>
  </si>
  <si>
    <t>https://www.eizo.com/forms/contact/#:~:text=Please%20fill%20out%20the%20form,get%20right%20back%20to%20you.</t>
  </si>
  <si>
    <t>Environmental responsibility, quality products</t>
  </si>
  <si>
    <t>EKOenergy</t>
  </si>
  <si>
    <t>https://news.fundsforngos.org</t>
  </si>
  <si>
    <t>Funding renewable energy projects in LMICs</t>
  </si>
  <si>
    <t>Up to €40,000</t>
  </si>
  <si>
    <t>Environment &amp; sustainable energy</t>
  </si>
  <si>
    <t>ELMA Foundation</t>
  </si>
  <si>
    <t>https://www.elmaphilanthropies.org</t>
  </si>
  <si>
    <t>Health &amp; education</t>
  </si>
  <si>
    <t>Youth impact</t>
  </si>
  <si>
    <t>EmpowHER Fund (Aidsfonds)</t>
  </si>
  <si>
    <t>Community action for HIV prevention &amp; women’s leadership</t>
  </si>
  <si>
    <t>HIV prevention &amp; leadership</t>
  </si>
  <si>
    <t>Epson CSR Initiatives (often local community support)</t>
  </si>
  <si>
    <t>Epson Corporate Social Responsibility</t>
  </si>
  <si>
    <t>https://www.epson-africa.com/about/sustainability/society</t>
  </si>
  <si>
    <t>Environmental protection, education, community development.</t>
  </si>
  <si>
    <t>Varies; contact local Epson offices</t>
  </si>
  <si>
    <t>Ethereum Foundation</t>
  </si>
  <si>
    <t>https://ethereum.foundation/grants</t>
  </si>
  <si>
    <t>Open-source &amp; impactful tech projects</t>
  </si>
  <si>
    <t>Blockchain &amp; social tech</t>
  </si>
  <si>
    <t>European Climate Foundation</t>
  </si>
  <si>
    <t>https://europeanclimate.org</t>
  </si>
  <si>
    <t>Policy &amp; environmental reform</t>
  </si>
  <si>
    <t>Advocacy orgs</t>
  </si>
  <si>
    <t>European Union</t>
  </si>
  <si>
    <t>Large grants for innovation, climate, mobility, and social research</t>
  </si>
  <si>
    <t>(European Commission)</t>
  </si>
  <si>
    <t>Multi-million €</t>
  </si>
  <si>
    <t>Multiple deadlines 2026</t>
  </si>
  <si>
    <t>Excellent for large-scale projects; check specific calls for eligibility</t>
  </si>
  <si>
    <t>Eutelsat ADVANCE / CSR Initiatives</t>
  </si>
  <si>
    <t>Eutelsat</t>
  </si>
  <si>
    <t>https://spaceinafrica.com/2023/04/14/poulsat-selects-eutelsat-advance-to-connect-schools-in-north-africa/</t>
  </si>
  <si>
    <t>Delivering high-speed internet connectivity, especially for education and rural access. Partnered with POULSAT for schools in North Africa</t>
  </si>
  <si>
    <t>Varies; often for regional partnerships</t>
  </si>
  <si>
    <t>Expression of Interest – Strategic Opportunity Fund (ActionAid Nigeria)</t>
  </si>
  <si>
    <t>https://grantsdatabase.org</t>
  </si>
  <si>
    <t>Supports NGO &amp; civil society projects via Renewed Women’s Voice &amp; Leadership</t>
  </si>
  <si>
    <t>Civil society strengthening</t>
  </si>
  <si>
    <t>EY Ripples</t>
  </si>
  <si>
    <t>EY (Ernst &amp; Young)</t>
  </si>
  <si>
    <t>https://www.ey.com/en_za/newsroom/2019/12/ey-ripples-program-aims-to-positively-impact-the-lives-of-1-billion-people-by-2030</t>
  </si>
  <si>
    <t>Supporting the next generation workforce, working with impact entrepreneurs, and accelerating environmental sustainability.</t>
  </si>
  <si>
    <t>Non-profits, social enterprises</t>
  </si>
  <si>
    <t>Applicants must be nominated by a FAWCO club that has supported the organization for 6+ months with 3+ members involved.</t>
  </si>
  <si>
    <t>Firelight Foundation</t>
  </si>
  <si>
    <t>https://firelightfoundation.org</t>
  </si>
  <si>
    <t>African child wellbeing programs</t>
  </si>
  <si>
    <t>Community orgs</t>
  </si>
  <si>
    <t>Fondation Centre Pompadour</t>
  </si>
  <si>
    <t>https://globalsouthopportunities.com</t>
  </si>
  <si>
    <t>Grants for cultural and artistic projects</t>
  </si>
  <si>
    <t>Arts &amp; culture funding</t>
  </si>
  <si>
    <t>Fondation Ensemble</t>
  </si>
  <si>
    <t>https://www.fondationensemble.org</t>
  </si>
  <si>
    <t>Conservation &amp; sustainability</t>
  </si>
  <si>
    <t>€20k–50k</t>
  </si>
  <si>
    <t>Small NGOs</t>
  </si>
  <si>
    <t>Ford Foundation</t>
  </si>
  <si>
    <t>https://www.fordfoundation.org</t>
  </si>
  <si>
    <t>Large foundation</t>
  </si>
  <si>
    <t>Fortinet Network Security Academy (FNSA)</t>
  </si>
  <si>
    <t>Fortinet</t>
  </si>
  <si>
    <t>https://training.fortinet.com/</t>
  </si>
  <si>
    <t>Training and certification in cybersecurity skills.</t>
  </si>
  <si>
    <t>Friends of Liberia</t>
  </si>
  <si>
    <t>Small community development grants</t>
  </si>
  <si>
    <t>(Friends of Liberia)</t>
  </si>
  <si>
    <t>~USD 3,000</t>
  </si>
  <si>
    <t>West Africa</t>
  </si>
  <si>
    <t>Ideal for grassroots orgs with community projects</t>
  </si>
  <si>
    <t>working and registered in Liberia</t>
  </si>
  <si>
    <t>Fujitsu Social Impact Grants / CSR Initiatives</t>
  </si>
  <si>
    <t>Fujitsu</t>
  </si>
  <si>
    <t>Fujitsu Social Impact Grants Africa</t>
  </si>
  <si>
    <t>Human-centric AI, digital inclusion, environmental sustainability, STEM education.</t>
  </si>
  <si>
    <t>Future of Work(ers), Technology and Society, Just Cities and Regions (often through partners)</t>
  </si>
  <si>
    <t>The Ford Foundation</t>
  </si>
  <si>
    <t>https://www.fordfoundation.org/</t>
  </si>
  <si>
    <t>Promoting social justice, often through technology for social impact, economic opportunity.</t>
  </si>
  <si>
    <t>Varies, often for established organizations working on
 systemic issues</t>
  </si>
  <si>
    <t>Futuremakers by Standard Chartered</t>
  </si>
  <si>
    <t>Standard Chartered</t>
  </si>
  <si>
    <t>https://www.sc.com/ke/sustainability/inclusive-communities/</t>
  </si>
  <si>
    <t>Tackling inequality by promoting economic inclusion and empowering the next generation. Focus on education, employability, and entrepreneurship</t>
  </si>
  <si>
    <t>Gates Foundation</t>
  </si>
  <si>
    <t>Health &amp; poverty</t>
  </si>
  <si>
    <t>Major foundation</t>
  </si>
  <si>
    <t>General operating support &amp; Environmental Leadership Initiative</t>
  </si>
  <si>
    <t>Hewlett Foundation</t>
  </si>
  <si>
    <t>https://hewlett.org/grants/</t>
  </si>
  <si>
    <t>501(c)(3), active website.</t>
  </si>
  <si>
    <t>German Missions Micro‑Projects Funding</t>
  </si>
  <si>
    <t>Small‑scale community development funding</t>
  </si>
  <si>
    <t>(southafrica.diplo.de)</t>
  </si>
  <si>
    <t>Up to €25,000</t>
  </si>
  <si>
    <t>Project‑specific / varies</t>
  </si>
  <si>
    <t>Africa (via embassies)</t>
  </si>
  <si>
    <t>Great for grassroots NGO work</t>
  </si>
  <si>
    <t>must be registered in South Africa, Eswatini or Lesotho</t>
  </si>
  <si>
    <t>GIGA Initiative</t>
  </si>
  <si>
    <t>ITU/UNICEF</t>
  </si>
  <si>
    <t>https://giga.global</t>
  </si>
  <si>
    <t>School connectivity</t>
  </si>
  <si>
    <t>Girls in ICT</t>
  </si>
  <si>
    <t>Plan International</t>
  </si>
  <si>
    <t>https://plan-international.org</t>
  </si>
  <si>
    <t>Digital literacy &amp; access</t>
  </si>
  <si>
    <t>GitHub Social Impact</t>
  </si>
  <si>
    <t>GitHub</t>
  </si>
  <si>
    <t>https://github.com/social-impact</t>
  </si>
  <si>
    <t>Supporting open source projects and initiatives that leverage technology for social good, including education and community building</t>
  </si>
  <si>
    <t>Open-source projects, non-profits using GitHub for social
 impact</t>
  </si>
  <si>
    <t>Global &amp; Innovation-Focused Funds</t>
  </si>
  <si>
    <t>MARCH</t>
  </si>
  <si>
    <t>Global Development / Education initiatives</t>
  </si>
  <si>
    <t>Bill &amp; Melinda Gates Foundation</t>
  </si>
  <si>
    <t>https://www.gatesfoundation.org/</t>
  </si>
  <si>
    <t>Education (esp. K-12 and post-secondary in developing countries), poverty alleviation, health. Technology often plays a role in their funded projects.</t>
  </si>
  <si>
    <t>Very high standards; often for large, scalable interventions</t>
  </si>
  <si>
    <t>Global Ed Program</t>
  </si>
  <si>
    <t>Sub-Saharan Africa</t>
  </si>
  <si>
    <t>Edtech &amp; literacy</t>
  </si>
  <si>
    <t>Multi-year</t>
  </si>
  <si>
    <t>Global Education Coalition</t>
  </si>
  <si>
    <t>UNESCO</t>
  </si>
  <si>
    <t>https://www.unesco.org</t>
  </si>
  <si>
    <t>Equitable digital education</t>
  </si>
  <si>
    <t>Project-based</t>
  </si>
  <si>
    <t>Global Forest Watch</t>
  </si>
  <si>
    <t>https://www.globalforestwatch.org</t>
  </si>
  <si>
    <t>Forest monitoring support</t>
  </si>
  <si>
    <t>Up to $40k</t>
  </si>
  <si>
    <t>Civil society focus</t>
  </si>
  <si>
    <t>Global Fund for Community Foundations</t>
  </si>
  <si>
    <t>https://globalfundcommunityfoundations.org</t>
  </si>
  <si>
    <t>Supports community philanthropy initiatives</t>
  </si>
  <si>
    <t>Strengthens local foundations</t>
  </si>
  <si>
    <t>Global Greengrants Fund</t>
  </si>
  <si>
    <t>https://www.greengrants.org</t>
  </si>
  <si>
    <t>Environmental justice &amp; community grants</t>
  </si>
  <si>
    <t>$500–$5,000</t>
  </si>
  <si>
    <t>Grassroots climate action</t>
  </si>
  <si>
    <t>Global Impact Cash Grants</t>
  </si>
  <si>
    <t>Cisco</t>
  </si>
  <si>
    <t>https://www.cisco.com/c/en/us/about/purpose/social-impact/investments/global-impact-cash-grants.html</t>
  </si>
  <si>
    <t>Education, Economic Empowerment, Critical Human Needs, Climate &amp; Environment (e-waste aligns).</t>
  </si>
  <si>
    <t>501(c)(3) or equivalent, focus on measurable impact</t>
  </si>
  <si>
    <t>Global Impact Cash Grants &amp; Product Donation</t>
  </si>
  <si>
    <t>https://csr.cisco.com</t>
  </si>
  <si>
    <t>Tech labs &amp; e-waste</t>
  </si>
  <si>
    <t>Up to $75K</t>
  </si>
  <si>
    <t>Global Partnerships</t>
  </si>
  <si>
    <t>https://globalpartnerships.org</t>
  </si>
  <si>
    <t>NGO sustainability support</t>
  </si>
  <si>
    <t>Development focus</t>
  </si>
  <si>
    <t>Global Relief Institute</t>
  </si>
  <si>
    <t>https://globalreliefinstitute.org</t>
  </si>
  <si>
    <t>Lists open NGO grants</t>
  </si>
  <si>
    <t>Research hub</t>
  </si>
  <si>
    <t>Global Water Replenishment, Youth Empowerment, Community Well-being</t>
  </si>
  <si>
    <t xml:space="preserve">The Coca-Cola Foundation </t>
  </si>
  <si>
    <t>https://www.coca-colacompany.com/about-us/the-coca-cola-foundation</t>
  </si>
  <si>
    <t>Education, youth development, water stewardship</t>
  </si>
  <si>
    <t>Google Ad Grants</t>
  </si>
  <si>
    <t>Google</t>
  </si>
  <si>
    <t>https://www.google.com/nonprofits/</t>
  </si>
  <si>
    <t>Raising awareness for nonprofit missions</t>
  </si>
  <si>
    <t>Up to $10,000/month.</t>
  </si>
  <si>
    <t>Google for Nonprofits &amp; Google.org</t>
  </si>
  <si>
    <t>https://www.google.com/nonprofits</t>
  </si>
  <si>
    <t>Ad credits &amp; project grants</t>
  </si>
  <si>
    <t>~$10K/mo ads; var</t>
  </si>
  <si>
    <t>Anytime</t>
  </si>
  <si>
    <t>Google.org</t>
  </si>
  <si>
    <t>APRIL</t>
  </si>
  <si>
    <t>Government of Netherlands</t>
  </si>
  <si>
    <t>Funding for women’s empowerment and gender justice initiatives in Africa</t>
  </si>
  <si>
    <t>(Government of the Netherlands)</t>
  </si>
  <si>
    <t>2026 (ongoing)</t>
  </si>
  <si>
    <t>Large umbrella funding; plan proposals ahead</t>
  </si>
  <si>
    <t>o advance women’s economic participation</t>
  </si>
  <si>
    <t>Greggs Foundation</t>
  </si>
  <si>
    <t>https://www.greggsfoundation.org.uk</t>
  </si>
  <si>
    <t>Community organization funding</t>
  </si>
  <si>
    <t>Up to £60k</t>
  </si>
  <si>
    <t>Core funding</t>
  </si>
  <si>
    <t>GSMA Innovation Fund</t>
  </si>
  <si>
    <t>Gwendoline &amp; Margaret Davies Charity</t>
  </si>
  <si>
    <t>Local community project grants</t>
  </si>
  <si>
    <t>(daviescharity.org.uk)</t>
  </si>
  <si>
    <t>Up to £2,000</t>
  </si>
  <si>
    <t>UK,Wales</t>
  </si>
  <si>
    <t>Arts, education, health focus</t>
  </si>
  <si>
    <t>HDIF</t>
  </si>
  <si>
    <t>https://hdif-tz.org</t>
  </si>
  <si>
    <t>Education &amp; health innovation</t>
  </si>
  <si>
    <t>East Africa</t>
  </si>
  <si>
    <t>Innovation ecosystem</t>
  </si>
  <si>
    <t>https://hewlett.org</t>
  </si>
  <si>
    <t>Systems reform grants</t>
  </si>
  <si>
    <t>Policy focus</t>
  </si>
  <si>
    <t>Honnold Foundation</t>
  </si>
  <si>
    <t>Grants for NGOs/communities scaling community solar &amp; clean energy</t>
  </si>
  <si>
    <t>Up to ~$150,000</t>
  </si>
  <si>
    <t>Focus on community-driven solar solutions</t>
  </si>
  <si>
    <t>HP Digital Equity</t>
  </si>
  <si>
    <t>HP Digital Equity / Dell Technologies</t>
  </si>
  <si>
    <t>JUNE</t>
  </si>
  <si>
    <t>HSBC Digital Education Grants / Community Investment</t>
  </si>
  <si>
    <t>HSBC</t>
  </si>
  <si>
    <t>https://www.fundsforngos.org/scholarships-2/hsbc-scholarship-program/</t>
  </si>
  <si>
    <t>Education, financial literacy, environmental sustainability, digital skills.</t>
  </si>
  <si>
    <t>Non-profits.</t>
  </si>
  <si>
    <t>Huawei ICT Academy (Partnership with Open</t>
  </si>
  <si>
    <t>Huawei</t>
  </si>
  <si>
    <t>https://e.huawei.com/en/talent/ict-academy/</t>
  </si>
  <si>
    <t>Empowering learners through flexible, self-paced digital skills training (AI, Cloud Computing, Cybersecurity, Coding).</t>
  </si>
  <si>
    <t>Educational institutions, often in partnership with local foundations.</t>
  </si>
  <si>
    <t>LINK DOESNT HAVE INFORMATION</t>
  </si>
  <si>
    <t>IB Global Youth Action Fund</t>
  </si>
  <si>
    <t>Grants for youth-led action &amp; community initiatives</t>
  </si>
  <si>
    <t>Focus on youth leadership</t>
  </si>
  <si>
    <t>IBM Corporate Social Responsibility (Global/Regional)</t>
  </si>
  <si>
    <t>IBM</t>
  </si>
  <si>
    <t>https://www.ibm.com/think/topics/corporate-social-responsibility</t>
  </si>
  <si>
    <t>Skills, Education, Health, Environment. They have specific calls for proposals like their "Education Security Grants" (though often US-centric, worth checking for global expansion).</t>
  </si>
  <si>
    <t>Varies per program</t>
  </si>
  <si>
    <t>IBM SkillsBuild (Resources, not cash grants for infrastructure)</t>
  </si>
  <si>
    <t>https://skillsbuild.org/</t>
  </si>
  <si>
    <t>Free digital learning and professional development (AI, cybersecurity, cloud).</t>
  </si>
  <si>
    <t>Open to learners and educators.</t>
  </si>
  <si>
    <t>ICT Transforming Education</t>
  </si>
  <si>
    <t>https://www.unesco.org/en/education</t>
  </si>
  <si>
    <t>ICT in Education</t>
  </si>
  <si>
    <t>IKEA Foundation</t>
  </si>
  <si>
    <t>https://ikeafoundation.org</t>
  </si>
  <si>
    <t>Poverty &amp; climate solutions</t>
  </si>
  <si>
    <t>Big NGO partnerships</t>
  </si>
  <si>
    <t>IKI Small Grants 7th Call</t>
  </si>
  <si>
    <t>Funds small, local climate and biodiversity projects in developing countries, with added capacity building support.</t>
  </si>
  <si>
    <t>https://iki-small-grants.de/application/</t>
  </si>
  <si>
    <t>ODA eligible countries (local or national level)</t>
  </si>
  <si>
    <t>EUR 60,000–200,000</t>
  </si>
  <si>
    <t>January of 2026</t>
  </si>
  <si>
    <t>Applicant must be locally registered, non profit, operating 3+ years, with strong financial systems. No EU registered entities.</t>
  </si>
  <si>
    <t>No.
We can apply after 3 years.</t>
  </si>
  <si>
    <t>iLearnabout Project (Technology driven education)</t>
  </si>
  <si>
    <t>iAfrica Foundation</t>
  </si>
  <si>
    <t>https://www.iafricafoundation.org/funding</t>
  </si>
  <si>
    <t>Accelerating learning and unlocking potential of children in Africa's poorest communities through innovative technology.</t>
  </si>
  <si>
    <t>Organizations working on technology-driven education in
 Africa</t>
  </si>
  <si>
    <t>Imagine Grant</t>
  </si>
  <si>
    <t>AWS</t>
  </si>
  <si>
    <t>https://aws.amazon.com/imagine</t>
  </si>
  <si>
    <t>Cloud infrastructure</t>
  </si>
  <si>
    <t>~$80–100K</t>
  </si>
  <si>
    <t>Next cycle</t>
  </si>
  <si>
    <t>Inclusive Digital Economies</t>
  </si>
  <si>
    <t>Digital Impact Alliance</t>
  </si>
  <si>
    <t>https://digitalimpactalliance.org</t>
  </si>
  <si>
    <t>Digital infrastructure</t>
  </si>
  <si>
    <t>$50K–$250K</t>
  </si>
  <si>
    <t>Inclusive Digitalization Program</t>
  </si>
  <si>
    <t>World Bank</t>
  </si>
  <si>
    <t>https://www.worldbank.org</t>
  </si>
  <si>
    <t>ICT infrastructure &amp; education</t>
  </si>
  <si>
    <t>$250K+</t>
  </si>
  <si>
    <t>Information and Digital Rights, Economic Justice</t>
  </si>
  <si>
    <t>Open Society Foundations</t>
  </si>
  <si>
    <t>https://www.opensocietyfoundations.org/what-we-do/regions/africa</t>
  </si>
  <si>
    <t>Human rights, justice, governance, digital rights, economic justice. Connectivity and digital access are often components</t>
  </si>
  <si>
    <t>Varies; often for advocacy organizations</t>
  </si>
  <si>
    <t>Infrastructure Grants</t>
  </si>
  <si>
    <t>ISIF Asia</t>
  </si>
  <si>
    <t>https://isif.asia</t>
  </si>
  <si>
    <t>Internet infrastructure &amp; access</t>
  </si>
  <si>
    <t>$30K–$85K</t>
  </si>
  <si>
    <t>ING Social Innovation Fund / Local CSR</t>
  </si>
  <si>
    <t>ING</t>
  </si>
  <si>
    <t>https://www.globalinnovation.fund/</t>
  </si>
  <si>
    <t>Supporting social entrepreneurs and innovative projects that contribute to a sustainable and inclusive society, often including digital solutions</t>
  </si>
  <si>
    <t>Social entrepreneurs, non-profits.</t>
  </si>
  <si>
    <t>Innovation Challenge</t>
  </si>
  <si>
    <t>Tanzania</t>
  </si>
  <si>
    <t>Tanzania edtech</t>
  </si>
  <si>
    <t>£40M total</t>
  </si>
  <si>
    <t>Innovation Fund</t>
  </si>
  <si>
    <t>GSMA</t>
  </si>
  <si>
    <t>https://www.gsma.com</t>
  </si>
  <si>
    <t>Mobile internet inclusion</t>
  </si>
  <si>
    <t>Innovations for Poverty</t>
  </si>
  <si>
    <t>The Global Innovation Fund</t>
  </si>
  <si>
    <t>https://www.globalinnovation.fund</t>
  </si>
  <si>
    <t>Digital impact</t>
  </si>
  <si>
    <t>$50K–$1.5M</t>
  </si>
  <si>
    <t>Instant Network Schools</t>
  </si>
  <si>
    <t>Vodafone Foundation</t>
  </si>
  <si>
    <t>https://www.vodafone.com</t>
  </si>
  <si>
    <t>Connectivity + training</t>
  </si>
  <si>
    <t>Instant Schools Initiative</t>
  </si>
  <si>
    <t>Vodafone Ghana Foundation</t>
  </si>
  <si>
    <t>https://vodafone.com.gh</t>
  </si>
  <si>
    <t>Ghana</t>
  </si>
  <si>
    <t>Digital education</t>
  </si>
  <si>
    <t>Intel Community Reach Program</t>
  </si>
  <si>
    <t>Intel</t>
  </si>
  <si>
    <t>https://www.intel.com</t>
  </si>
  <si>
    <t>STEM &amp; youth engagement</t>
  </si>
  <si>
    <t>Intel Community Reach Program (ICRP 2.0)</t>
  </si>
  <si>
    <t>https://grantsdatabase.org/2025/06/06/apply-now-2025-intel-community-reach-program-empowers-african-innovators-with-ai-connectivity-grants</t>
  </si>
  <si>
    <t xml:space="preserve">more focused than ever on uplifting underserved communities across Africa. Spearheaded by Intel in partnership with AfriLabs, this second edition of the program seeks to fund groundbreaking solutions powered by AI and broadband technologies.
</t>
  </si>
  <si>
    <t>African Union member country
underserved areas
Address a social challenge in at least one of these fields:
STEM Education
Agriculture
Healthcare
Climate and Environmental Services
Financial Inclusion / Fintech
Digital Skills Development</t>
  </si>
  <si>
    <t>Info is for 2025</t>
  </si>
  <si>
    <t>Intel Community Reach Program (Specific for Africa)</t>
  </si>
  <si>
    <t>https://community.intel.com/t5/Blogs/Intel/Policy-Intel/Empowering-Africa-s-Future-Announcing-the-Intel-Community-Reach/post/1683106</t>
  </si>
  <si>
    <t>AI at the Edge, AI PC, or broadband connectivity to advance STEM education, healthcare access, or environmental sustainability in underserved African communities.</t>
  </si>
  <si>
    <t>Registered entity (NGO, startup, SME, institution) in an AU country, project serves underserved communities, AI/tech component required.</t>
  </si>
  <si>
    <t>Intel Foundation (Focus on Education &amp; Community Impact)</t>
  </si>
  <si>
    <t>https://www.intel.com/content/www/us/en/corporate-responsibility/intel-foundation.html</t>
  </si>
  <si>
    <t>Promoting education (STEM, digital literacy), community impact</t>
  </si>
  <si>
    <t>Varies; often requires strong project plan and measurable outcomes.</t>
  </si>
  <si>
    <t>Intelsat Corporate Social Responsibility (often partnershi</t>
  </si>
  <si>
    <t>Intelsat</t>
  </si>
  <si>
    <t>https://www.intelsat.com/newsroom/intelsat-partners-with-whitaker-peace-and-development-initiative-to-expand-access-to-education-in-east-africa/</t>
  </si>
  <si>
    <t>Bridging the digital divide, disaster response, education, healthcare. They leverage satellite connectivity</t>
  </si>
  <si>
    <t>Varies, often for large-scale, impactful project</t>
  </si>
  <si>
    <t>International Albert Schweitzer Prize</t>
  </si>
  <si>
    <t>Awards outstanding health initiatives</t>
  </si>
  <si>
    <t>(ASF)</t>
  </si>
  <si>
    <t>EUR 10,000–25,000</t>
  </si>
  <si>
    <t>Sub‑Saharan Africa</t>
  </si>
  <si>
    <t>Recognises locally led health service impact</t>
  </si>
  <si>
    <t>for innovative health projec</t>
  </si>
  <si>
    <t>International Land Coalition</t>
  </si>
  <si>
    <t>https://www.landcoalition.org</t>
  </si>
  <si>
    <t>Land defender protection</t>
  </si>
  <si>
    <t>Emergency</t>
  </si>
  <si>
    <t>Rapid response</t>
  </si>
  <si>
    <t>International Organization for Migration</t>
  </si>
  <si>
    <t>Supports youth‑led climate &amp; migration initiatives</t>
  </si>
  <si>
    <t>(environmentalmigration.iom.int)</t>
  </si>
  <si>
    <t>Up to ~$15,000</t>
  </si>
  <si>
    <t>Youth leadership focus</t>
  </si>
  <si>
    <t>for Climate Mobility in Africa for enviornmental social problems</t>
  </si>
  <si>
    <t xml:space="preserve">Internet Society Foundation </t>
  </si>
  <si>
    <t>https://www.isocfoundation.org/?s=Education&amp;_gl=1*1xkypr*_up*MQ..*_ga*MzcyNzgyNzMuMTc2OTA4NzM3MQ..*_ga_BQY6ZNFJLB*czE3NjkwODczNzAkbzEkZzAkdDE3NjkwODczNzAkajYwJGwwJGgw</t>
  </si>
  <si>
    <t>Training on Virtual Environments to Improve Access to Education in Rural Areas</t>
  </si>
  <si>
    <t xml:space="preserve">Non-Profits,educators </t>
  </si>
  <si>
    <t>Not opening for applications in 2026</t>
  </si>
  <si>
    <t>Internet Society Foundation (BOLT)</t>
  </si>
  <si>
    <t>Internet Society Foundation (Preparation Phase)</t>
  </si>
  <si>
    <t>Internews</t>
  </si>
  <si>
    <t>https://internews.org</t>
  </si>
  <si>
    <t>Journalism &amp; information access</t>
  </si>
  <si>
    <t>Media NGOs</t>
  </si>
  <si>
    <t>IPI</t>
  </si>
  <si>
    <t>https://ipi.media</t>
  </si>
  <si>
    <t>Media innovation funding</t>
  </si>
  <si>
    <t>Next call</t>
  </si>
  <si>
    <t>Journalism &amp; digital rights</t>
  </si>
  <si>
    <t>IWMF</t>
  </si>
  <si>
    <t>Courage in Photojournalism cash prize</t>
  </si>
  <si>
    <t>(International Women's Media Foundation)</t>
  </si>
  <si>
    <t>Journalism &amp; reporting</t>
  </si>
  <si>
    <t>Jabil Cares Foundation</t>
  </si>
  <si>
    <t>https://www.jabil.com/company/jabil-cares.html</t>
  </si>
  <si>
    <t>Education &amp; empowerment funding</t>
  </si>
  <si>
    <t>CSR program</t>
  </si>
  <si>
    <t>Jacobs Foundation (Education)</t>
  </si>
  <si>
    <t>https://cifarportal.smapply.io/acc/r/w/</t>
  </si>
  <si>
    <t>opens on 26 march</t>
  </si>
  <si>
    <t>Jerry Greenfield National Program</t>
  </si>
  <si>
    <t>Unrestricted support for community groups</t>
  </si>
  <si>
    <t>(Ben &amp; Jerry's Foundation)</t>
  </si>
  <si>
    <t>Up to $30,000</t>
  </si>
  <si>
    <t>United States</t>
  </si>
  <si>
    <t>Grassroots focus</t>
  </si>
  <si>
    <t>Johns Hopkins University</t>
  </si>
  <si>
    <t>Student-led ideas to improve healthcare</t>
  </si>
  <si>
    <t>(cbid.bme.jhu.edu)</t>
  </si>
  <si>
    <t>$1,000–$10,000</t>
  </si>
  <si>
    <t>01‑Feb‑2026</t>
  </si>
  <si>
    <t>Design focus (health tech)</t>
  </si>
  <si>
    <t>For healthcare</t>
  </si>
  <si>
    <t>Kano for Education / CSR (often partnerships)</t>
  </si>
  <si>
    <t>Kano (Computers/Coding Kits)</t>
  </si>
  <si>
    <t>https://education-courses.kano.me/</t>
  </si>
  <si>
    <t>Making coding and computer science accessible to children</t>
  </si>
  <si>
    <t>Educational institutions, non-profits</t>
  </si>
  <si>
    <t>Kaspersky Academy / Smart Africa Partnership</t>
  </si>
  <si>
    <t>Kaspersky</t>
  </si>
  <si>
    <t>https://www.kaspersky.com/about/press-releases/kaspersky-and-smart-africa-forge-strategic-partnership-to-bolster-cybersecurity-in-africa</t>
  </si>
  <si>
    <t>Building cybersecurity capabilities, training programs, addressing gender disparities in cybersecurity, standardizing cybersecurity policies.</t>
  </si>
  <si>
    <t>Often through government or large NGO partnerships (e.g., Smart Africa).</t>
  </si>
  <si>
    <t>Khulani Nathi Innovation Fund (R30 Million Fund)</t>
  </si>
  <si>
    <t>Trevor Noah Foundation (South Africa specific)</t>
  </si>
  <si>
    <t>https://trevornoahfoundation.org/trevor-noah-foundation-establishes-khulani-nathi-innovation-fund-to-strengthen-south-africas-education-ecosystem/</t>
  </si>
  <si>
    <t>Supporting South African non-profit organizations leading innovations in education</t>
  </si>
  <si>
    <t>Established South African
 nonprofit organizations with innovations in education</t>
  </si>
  <si>
    <t>Up to R3 million (approx.
 $160,000 USD over three years</t>
  </si>
  <si>
    <t>July 18, 2025 (as per recent search result for 2025)</t>
  </si>
  <si>
    <t>Kids Global Connect / Community-led Development</t>
  </si>
  <si>
    <t>World Connect (Grassroots Development</t>
  </si>
  <si>
    <t>https://worldconnect.global/</t>
  </si>
  <si>
    <t>Supports small-scale, community-led projects in developing countries, often including education and technology access</t>
  </si>
  <si>
    <t>Local community groups, schools</t>
  </si>
  <si>
    <t>Up to $5,000 for Kids Global Connect, larger for others</t>
  </si>
  <si>
    <t>Rolling (for some programs) or specific calls</t>
  </si>
  <si>
    <t>King Baudouin Foundation Africa</t>
  </si>
  <si>
    <t>Grants for African organisations with transformative impact</t>
  </si>
  <si>
    <t>€250,000</t>
  </si>
  <si>
    <t>Major award for impact NGOs</t>
  </si>
  <si>
    <t>Lady Leech Fund</t>
  </si>
  <si>
    <t>https://www.williamleech.co.uk</t>
  </si>
  <si>
    <t>Volunteer-led NGO support</t>
  </si>
  <si>
    <t>LMICs</t>
  </si>
  <si>
    <t>Small NGO focus</t>
  </si>
  <si>
    <t>Latvian Literature Grant</t>
  </si>
  <si>
    <t>Literary translation funding</t>
  </si>
  <si>
    <t>(FundsforNGOs)</t>
  </si>
  <si>
    <t>Translator &amp; cultural support</t>
  </si>
  <si>
    <t>Leica / LOBA</t>
  </si>
  <si>
    <t>Supports female documentary photographers</t>
  </si>
  <si>
    <t>International Photo Contest – The Leica Oskar Barnack Award</t>
  </si>
  <si>
    <t>€10,000 + camera</t>
  </si>
  <si>
    <t>15‑Mar‑2026</t>
  </si>
  <si>
    <t>Creative arts storytelling</t>
  </si>
  <si>
    <t>for creative arts; photography</t>
  </si>
  <si>
    <t>Lemelson Foundation</t>
  </si>
  <si>
    <t>https://lemelson.org</t>
  </si>
  <si>
    <t>Invention for development</t>
  </si>
  <si>
    <t>Technology for good</t>
  </si>
  <si>
    <t>Lenovo Foundation / CSR Initiatives</t>
  </si>
  <si>
    <t>Lenovo</t>
  </si>
  <si>
    <t>https://www.lenovo.com/us/en/about/foundation/?srsltid=AfmBOopvXumAQ48IXrOjVHFPn6oLqBbhQW3J4Oly7C181KHdfLpC6a0K</t>
  </si>
  <si>
    <t>STEM education, diversity in tech, community empowerment.</t>
  </si>
  <si>
    <t>LG Hope Series / LG CSR Initiatives</t>
  </si>
  <si>
    <t>LG Electronics</t>
  </si>
  <si>
    <t>https://www.lg.com/eastafrica/Corporate-Social-Responsibility/index#:~:text=With%20school%20rehabilitation%20project%20LG,and%20rehabilitated%20facility%20of%20school.</t>
  </si>
  <si>
    <t>Education, environment, social welfare, humanitarian aid. Often focused on specific community projects.</t>
  </si>
  <si>
    <t>Non-profits in regions where LG operates</t>
  </si>
  <si>
    <t>Ongoing/Varies</t>
  </si>
  <si>
    <t>Liquid Telecom Foundation / CSR (often infrastructurefocused</t>
  </si>
  <si>
    <t>Liquid Intelligent Technologies (Part of Liquid Telecom)</t>
  </si>
  <si>
    <t>https://liquid.tech/news-cat/csr/</t>
  </si>
  <si>
    <t>Broadband access, digital skills, supporting digital transformation in Africa.</t>
  </si>
  <si>
    <t>Varies, often for significant connectivity projects</t>
  </si>
  <si>
    <t>Logitech for Education / CSR Initiatives</t>
  </si>
  <si>
    <t>Logitech</t>
  </si>
  <si>
    <t>https://www.logitech.com/blog/2020/11/09/logitech-announces-grant-services-program-to-unlock-funding-for-schools-in-need/</t>
  </si>
  <si>
    <t>Creating equitable learning environments, access to technology.</t>
  </si>
  <si>
    <t>Lush Charity Pot</t>
  </si>
  <si>
    <t>https://charitypot.lush.com</t>
  </si>
  <si>
    <t>Environmental &amp; human rights</t>
  </si>
  <si>
    <t>Small grants</t>
  </si>
  <si>
    <t>Campaign groups</t>
  </si>
  <si>
    <t>MacArthur Foundation</t>
  </si>
  <si>
    <t>https://www.macfound.org</t>
  </si>
  <si>
    <t>Large transformative grants</t>
  </si>
  <si>
    <t>$100M</t>
  </si>
  <si>
    <t>Mega-scale funding</t>
  </si>
  <si>
    <t>Mama Cash</t>
  </si>
  <si>
    <t>https://www.mamacash.org</t>
  </si>
  <si>
    <t>Women &amp; girls rights funding</t>
  </si>
  <si>
    <t>Gender justice</t>
  </si>
  <si>
    <t>Mastercard Foundation (via partners)</t>
  </si>
  <si>
    <t>MasterCard Foundation Scholars</t>
  </si>
  <si>
    <t>https://mastercardfdn.org</t>
  </si>
  <si>
    <t>Youth education programs</t>
  </si>
  <si>
    <t>Scholarships &amp; NGOs</t>
  </si>
  <si>
    <t>MATCH Int’l Women’s Fund</t>
  </si>
  <si>
    <t>Supports women’s rights organisations</t>
  </si>
  <si>
    <t>(Idealist)</t>
  </si>
  <si>
    <t>CAD10k–20k</t>
  </si>
  <si>
    <t>Annual call</t>
  </si>
  <si>
    <t>Grassroots women’s groups</t>
  </si>
  <si>
    <t>women’s rights organizations</t>
  </si>
  <si>
    <t>MATCH International</t>
  </si>
  <si>
    <t>https://matchinternational.org</t>
  </si>
  <si>
    <t>Women-led org funding</t>
  </si>
  <si>
    <t>Michael &amp; Susan Dell Foundation (Partner)</t>
  </si>
  <si>
    <t>Urban education, family economic stability (often includes digital access/skills).</t>
  </si>
  <si>
    <t>Varies, can be substantial.</t>
  </si>
  <si>
    <t>MikroTik Academy / CSR (less formalized for grants)</t>
  </si>
  <si>
    <t>MikroTik (Routers/Wireless ISP equipment)</t>
  </si>
  <si>
    <t>https://mikrotik.com/training/academy/europe/bulgaria</t>
  </si>
  <si>
    <t>Affordable networking solutions, training.</t>
  </si>
  <si>
    <t>Educational institutions, community networks</t>
  </si>
  <si>
    <t>Miss Africa Seed Fund</t>
  </si>
  <si>
    <t>DotConnectAfrica</t>
  </si>
  <si>
    <t>https://dotconnectafrica.org</t>
  </si>
  <si>
    <t>Women in STEM</t>
  </si>
  <si>
    <t>$1K–$5K</t>
  </si>
  <si>
    <t>Supported</t>
  </si>
  <si>
    <t>Climate &amp; resilience projects</t>
  </si>
  <si>
    <t>https://foundation.mozilla.org/en/grants/</t>
  </si>
  <si>
    <t>MSDF Edtech Fund</t>
  </si>
  <si>
    <t>Dell</t>
  </si>
  <si>
    <t>https://www.msdf.org</t>
  </si>
  <si>
    <t>Education innovation</t>
  </si>
  <si>
    <t>MTN Y'ello Hope / MTN Foundation Initiatives (e.g.,
 Education, Economic Empowerment)</t>
  </si>
  <si>
    <t>MTN Foundation (Africa-wide)</t>
  </si>
  <si>
    <t>https://www.mtn.ng/foundation/</t>
  </si>
  <si>
    <t>Education (ICT in education, digital classrooms), economic
 empowerment, health.</t>
  </si>
  <si>
    <t>Registered non-profits in MTN operating countries across Africa.</t>
  </si>
  <si>
    <t>Varies by country</t>
  </si>
  <si>
    <t>National Endowment for Democracy</t>
  </si>
  <si>
    <t>https://www.ned.org</t>
  </si>
  <si>
    <t>Supports civil society, democratic governance &amp; human rights</t>
  </si>
  <si>
    <t>Core civil society funding</t>
  </si>
  <si>
    <t>National Research Fund (NRF) Kenya</t>
  </si>
  <si>
    <t>Supports postgraduate (Master’s &amp; PhD) research projects in Kenya</t>
  </si>
  <si>
    <t>(nrf.go.ke)</t>
  </si>
  <si>
    <t>Up to Ksh 2M (PhD) / 500k (Master’s)</t>
  </si>
  <si>
    <t>Focus on science &amp; innovation research</t>
  </si>
  <si>
    <t>POSTGRADUATE RESEARCH GRANTS</t>
  </si>
  <si>
    <t>NetApp Foundation Grants</t>
  </si>
  <si>
    <t>NetApp Foundation</t>
  </si>
  <si>
    <t>https://learnmore.scholarsapply.org/netapp/#:~:text=If%20selected%20as%20a%20recipient,offered%20an%20internship%20with%20NetApp.</t>
  </si>
  <si>
    <t>STEM education, workforce development, disaster relief, community enrichment.</t>
  </si>
  <si>
    <t>Non-profit organizations</t>
  </si>
  <si>
    <t>NetHope 2017 Device Challenge</t>
  </si>
  <si>
    <t>Nethope</t>
  </si>
  <si>
    <t>https://nethope.org/programs/digital-inclusion/nethope-2017-device-challenge/</t>
  </si>
  <si>
    <t>impact on efforts in humanitarian aid, international development, and conservation by providing funding for internet-connected devices.</t>
  </si>
  <si>
    <t>$5.5 million</t>
  </si>
  <si>
    <t>New England Biolabs Foundation</t>
  </si>
  <si>
    <t>https://www.neb.com/en/foundation</t>
  </si>
  <si>
    <t>Ecosystem &amp; food security</t>
  </si>
  <si>
    <t>$3k–10k</t>
  </si>
  <si>
    <t>Multiple windows</t>
  </si>
  <si>
    <t>Community ecology</t>
  </si>
  <si>
    <t>NigComSat (Nigerian Communications Satellite)</t>
  </si>
  <si>
    <t>EdTech Solutions for Education</t>
  </si>
  <si>
    <t>https://spaceinafrica.com/2023/11/13/nigcomsat-unveils-its-edtech-solutions-to-revolutionise-education-in-nigeria/</t>
  </si>
  <si>
    <t>Utilizing Nigeria's communications satellite- NigComSat-1R to
 provide EdTech solutions</t>
  </si>
  <si>
    <t>Educational institutions in Nigeria</t>
  </si>
  <si>
    <t>Nigeria Rural ICT Projects</t>
  </si>
  <si>
    <t>USPF</t>
  </si>
  <si>
    <t>https://www.ncc.gov.ng</t>
  </si>
  <si>
    <t>Nigeria</t>
  </si>
  <si>
    <t>Connectivity rollout</t>
  </si>
  <si>
    <t>Note: The Hitachi Foundation (US) largely closed in 2015, but Hitachi's global CSR is active). Hitachi Global CSR</t>
  </si>
  <si>
    <t>Hitachi Foundation</t>
  </si>
  <si>
    <t>https://www.hitachi.com/en-za/</t>
  </si>
  <si>
    <t>Social innovation, environmental sustainability, human resources development, community relations. Emphasis on contributing to solving social issues</t>
  </si>
  <si>
    <t>Varies, often through regional Hitachi offices</t>
  </si>
  <si>
    <t>Ongoing/Varies.</t>
  </si>
  <si>
    <t>Novo Nordisk Foundation</t>
  </si>
  <si>
    <t>Large global health research funding</t>
  </si>
  <si>
    <t>(Novo Nordisk Fonden)</t>
  </si>
  <si>
    <t>DKK 10M+</t>
  </si>
  <si>
    <t>19‑Mar‑2026</t>
  </si>
  <si>
    <t>Cardiovascular research focus</t>
  </si>
  <si>
    <t>Female Heart – Clinical Research Grants</t>
  </si>
  <si>
    <t>NVIDIA Inception Program</t>
  </si>
  <si>
    <t>NVIDIA</t>
  </si>
  <si>
    <t>https://www.nvidia.com/en-us/foundation/</t>
  </si>
  <si>
    <t>AI, deep learning, data science, especially for social good applications</t>
  </si>
  <si>
    <t>Projects leveraging AI/GPU technology</t>
  </si>
  <si>
    <t>Oak Foundation</t>
  </si>
  <si>
    <t>https://oakfnd.org</t>
  </si>
  <si>
    <t>Rights &amp; child protection</t>
  </si>
  <si>
    <t>NGO focus</t>
  </si>
  <si>
    <t>Okta for Good</t>
  </si>
  <si>
    <t>Okta</t>
  </si>
  <si>
    <t>https://www.okta.com/okta-for-good/</t>
  </si>
  <si>
    <t>Digital inclusion, workforce development, and strengthening the social sector with identity management technology</t>
  </si>
  <si>
    <t>Equity + grants</t>
  </si>
  <si>
    <t>Governance &amp; tech</t>
  </si>
  <si>
    <t>One Acre Fund</t>
  </si>
  <si>
    <t>https://oneacrefund.org</t>
  </si>
  <si>
    <t>Agriculture livelihood support</t>
  </si>
  <si>
    <t>Partner programs</t>
  </si>
  <si>
    <t>https://www.opensocietyfoundations.org</t>
  </si>
  <si>
    <t>Democracy &amp; rights funding</t>
  </si>
  <si>
    <t>Governance &amp; equity</t>
  </si>
  <si>
    <t>Oracle</t>
  </si>
  <si>
    <t>Oracle Academy</t>
  </si>
  <si>
    <t>https://academy.oracle.com/en/oa-web-overview.html</t>
  </si>
  <si>
    <t>Free computer science education, curriculum, software, and
training for educators and students.</t>
  </si>
  <si>
    <t>Educational institutions, non-profit educational programs</t>
  </si>
  <si>
    <t>MAY</t>
  </si>
  <si>
    <t>GRANT NAME</t>
  </si>
  <si>
    <t>Description</t>
  </si>
  <si>
    <t>Amount</t>
  </si>
  <si>
    <t>Deadline</t>
  </si>
  <si>
    <t>Packard Foundation</t>
  </si>
  <si>
    <t>https://www.packard.org</t>
  </si>
  <si>
    <t>Population &amp; environment</t>
  </si>
  <si>
    <t>Panasonic Foundation Grants (primarily US, but look for global/African initiatives)</t>
  </si>
  <si>
    <t>Panasonic Foundation</t>
  </si>
  <si>
    <t>https://na.panasonic.com/social-impact/panasonic-foundation</t>
  </si>
  <si>
    <t>Education (STEM, early childhood), environmental education</t>
  </si>
  <si>
    <t>US-based 501(c)(3) organizations for the main foundation</t>
  </si>
  <si>
    <t>Paratus EduLINK Initiative</t>
  </si>
  <si>
    <t>Paratus Group</t>
  </si>
  <si>
    <t>https://spaceinafrica.com/2025/07/01/paratus-launches-edulink-to-provide-starlink-internet-to-schools-across-africa/</t>
  </si>
  <si>
    <t>Providing Starlink internet to schools in remote and underserved regions across Africa.</t>
  </si>
  <si>
    <t>Eligible schools with a recognized Education Certificate in
 Botswana, Eswatini, Kenya, Malawi, Mozambique, Rwanda, Zambia.</t>
  </si>
  <si>
    <t>Patagonia Environmental Grants</t>
  </si>
  <si>
    <t>https://www.patagonia.com/actionworks</t>
  </si>
  <si>
    <t>Conservation &amp; climate justice</t>
  </si>
  <si>
    <t>$5k–20k</t>
  </si>
  <si>
    <t>Activist orgs</t>
  </si>
  <si>
    <t>PayPal Giving Fund (not a direct grant from PayPal, but facilitates donations)</t>
  </si>
  <si>
    <t>PayPal</t>
  </si>
  <si>
    <t>https://www.paypal.com/us/webapps/mpp/givingfund/home</t>
  </si>
  <si>
    <t>Facilitates donations to registered charities and often supports fundraising efforts for non-profits.</t>
  </si>
  <si>
    <t>Registered non-profits</t>
  </si>
  <si>
    <t>Philip King Charitable Trust</t>
  </si>
  <si>
    <t>https://philipkingcharitabletrust.org.uk</t>
  </si>
  <si>
    <t>Community initiatives</t>
  </si>
  <si>
    <t>£10k–40k</t>
  </si>
  <si>
    <t>Flexible small grants</t>
  </si>
  <si>
    <t>Philips Foundation Grants</t>
  </si>
  <si>
    <t>Philips Foundation</t>
  </si>
  <si>
    <t>https://www.philips-foundation.com/</t>
  </si>
  <si>
    <t>Improving access to healthcare, promoting healthy living, and building sustainable communities through innovation. Digital inclusion for health and well-being</t>
  </si>
  <si>
    <t>Non-profit organizations focusing on their areas.</t>
  </si>
  <si>
    <t>Pollock-Krasner Foundation</t>
  </si>
  <si>
    <t>https://pkf.org</t>
  </si>
  <si>
    <t>Support for visual artists</t>
  </si>
  <si>
    <t>Arts funding</t>
  </si>
  <si>
    <t>Product Donation Program</t>
  </si>
  <si>
    <t>https://www.techsoupkenya.or.ke/eligibility-guidelines-for-the-cisco-donation-program#:~:text=Organisations%20may%20request%20one%20Cisco,to%20fulfil%3B%20please%20plan%20accordingly.</t>
  </si>
  <si>
    <t>Access to technology for nonprofits.</t>
  </si>
  <si>
    <t>501(c)(3), often through TechSoup or local partners</t>
  </si>
  <si>
    <t>Project iMlango (Kenya-specific example)</t>
  </si>
  <si>
    <t>Avanti Communications</t>
  </si>
  <si>
    <t>https://www.avanti.space/case-studies/project-imlango/</t>
  </si>
  <si>
    <t>Providing high-speed internet connectivity to rural and remote schools using satellite technology</t>
  </si>
  <si>
    <t>Schools in rural/remote areas, specific country focus.</t>
  </si>
  <si>
    <t>PwC Foundation / New World. New Skills. Initiative</t>
  </si>
  <si>
    <t>PwC</t>
  </si>
  <si>
    <t>https://www.pwc.co.za/en/issues/new-world-new-skills.html</t>
  </si>
  <si>
    <t>Addressing the widening skills gap and preparing people for the digital economy, often through education and technology.</t>
  </si>
  <si>
    <t>Racial Equity, Education, Health (sometimes global, including Southern Africa)</t>
  </si>
  <si>
    <t>The W.K. Kellogg Foundation</t>
  </si>
  <si>
    <t>https://www.wkkf.org/what-we-fund/</t>
  </si>
  <si>
    <t>Supporting thriving children, families, and communities. While historically US-focused, they have a presence in Southern Africa. Education is a core pillar.</t>
  </si>
  <si>
    <t>Focus on vulnerable children/communities.</t>
  </si>
  <si>
    <t>Rainforest Trust</t>
  </si>
  <si>
    <t>https://www.rainforesttrust.org</t>
  </si>
  <si>
    <t>Protects forests &amp; biodiversity</t>
  </si>
  <si>
    <t>Environmental NGOs</t>
  </si>
  <si>
    <t>Raspberry Pi Foundation Grants</t>
  </si>
  <si>
    <t>Raspberry Pi Foundation</t>
  </si>
  <si>
    <t>https://www.raspberrypi.org/about/</t>
  </si>
  <si>
    <t>Education in computing and digital making</t>
  </si>
  <si>
    <t>Educational organizations, non-profits</t>
  </si>
  <si>
    <t>Small (e.g., £1,000-£5,000)</t>
  </si>
  <si>
    <t>Check website for open rounds</t>
  </si>
  <si>
    <t>Rebecca Rhodes / CIES &amp; ADEA</t>
  </si>
  <si>
    <t>Supports research on literacy &amp; inclusive education</t>
  </si>
  <si>
    <t>2026 Rebecca Rhodes African Inclusive Literacy Research Grant | ADEA</t>
  </si>
  <si>
    <t>27‑Feb‑2026</t>
  </si>
  <si>
    <t>Research &amp; education</t>
  </si>
  <si>
    <t>African scholars </t>
  </si>
  <si>
    <t>Red Hat Open Source Grants / Red Hat Gives</t>
  </si>
  <si>
    <t>Red Hat</t>
  </si>
  <si>
    <t>https://www.redhat.com/en/about/open-source-program-office/contributions#:~:text=Open%20Source%20Program%20Office&amp;text=Red%20Hat%20is%20a%20proud,maintain%20better%20open%20source%20software.</t>
  </si>
  <si>
    <t>Supporting open source communities, digital literacy, and technology education</t>
  </si>
  <si>
    <t>Open source projects, educational initiatives</t>
  </si>
  <si>
    <t>Refurbished PCs</t>
  </si>
  <si>
    <t>Computer Aid Intl</t>
  </si>
  <si>
    <t>https://www.computeraid.org</t>
  </si>
  <si>
    <t>Lab equipment</t>
  </si>
  <si>
    <t>Reimagine Education</t>
  </si>
  <si>
    <t>UNICEF</t>
  </si>
  <si>
    <t>https://www.unicef.org</t>
  </si>
  <si>
    <t>Digital learning</t>
  </si>
  <si>
    <t>Research &amp; Innovation Grants (STEM, technology for developmen</t>
  </si>
  <si>
    <t>The African Academy of Sciences (AAS)</t>
  </si>
  <si>
    <t>https://aasciences.africa/</t>
  </si>
  <si>
    <t>Promoting scientific research and innovation in Africa, often including technology for development.</t>
  </si>
  <si>
    <t>African scientists, research institutions</t>
  </si>
  <si>
    <t>Research Grants (sometimes includes technology for development)</t>
  </si>
  <si>
    <t>Kenya National Research Fund (NRF)</t>
  </si>
  <si>
    <t>https://www.nrf.go.ke/</t>
  </si>
  <si>
    <t>Supporting research and innovation in various sectors, including education and technology.</t>
  </si>
  <si>
    <t>Kenyan researchers, institutions, sometimes collaborations
 with NGOs.</t>
  </si>
  <si>
    <t>Responsible Technology / Education</t>
  </si>
  <si>
    <t>https://omidyar.com/</t>
  </si>
  <si>
    <t>Shaping technology to empower individuals, foster responsible innovation, and address global challenges (often includes digital infrastructure and access).</t>
  </si>
  <si>
    <t>Focus on systemic change, often for scalable models.</t>
  </si>
  <si>
    <t>Ricoh Global SDGs Grants / Local CSR</t>
  </si>
  <si>
    <t>Ricoh</t>
  </si>
  <si>
    <t>https://www.ricoh.co.za/about-us/sustainability/approach-sustainability/</t>
  </si>
  <si>
    <t>Promoting sustainability (including circular economy), education, community engagement. Strong focus on SDGs.</t>
  </si>
  <si>
    <t>Non-profit organizations aligning with SDGs</t>
  </si>
  <si>
    <t>Robert Wood Johnson Foundation</t>
  </si>
  <si>
    <t>https://www.rwjf.org</t>
  </si>
  <si>
    <t>Public health innovation</t>
  </si>
  <si>
    <t>Health programs</t>
  </si>
  <si>
    <t>https://www.rockefellerfoundation.org</t>
  </si>
  <si>
    <t>Health &amp; climate resilience</t>
  </si>
  <si>
    <t>Systems change</t>
  </si>
  <si>
    <t>Rufford Foundation</t>
  </si>
  <si>
    <t>https://www.rufford.org</t>
  </si>
  <si>
    <t>Biodiversity projects</t>
  </si>
  <si>
    <t>Up to £25k</t>
  </si>
  <si>
    <t>Developing countries</t>
  </si>
  <si>
    <t>Conservation focus</t>
  </si>
  <si>
    <t>Rural ICT Fund</t>
  </si>
  <si>
    <t>Rural Tech Fund</t>
  </si>
  <si>
    <t>https://ruraltechfund.org</t>
  </si>
  <si>
    <t>Connectivity in rural zones</t>
  </si>
  <si>
    <t>SAB Foundation</t>
  </si>
  <si>
    <t>https://sabfoundation.co.za</t>
  </si>
  <si>
    <t>Disability &amp; youth entrepreneurship</t>
  </si>
  <si>
    <t>Up to $100k</t>
  </si>
  <si>
    <t>Enterprise focus</t>
  </si>
  <si>
    <t>Salesforce Foundation / Philanthropy Cloud</t>
  </si>
  <si>
    <t>Salesforce</t>
  </si>
  <si>
    <t>https://www.salesforce.com/company/salesforce-foundation/</t>
  </si>
  <si>
    <t>Workforce development, education, and social impact through technology. They often emphasize STEM and digital skills.</t>
  </si>
  <si>
    <t>Samsung Corporate Social Responsibility (often regional)</t>
  </si>
  <si>
    <t>Samsung</t>
  </si>
  <si>
    <t>https://csr.samsung.com/en/story/inspiring-journeys/equipping-the-youth-of-south-africa-for-the-future</t>
  </si>
  <si>
    <t>Education, youth empowerment, digital inclusion, environment. They have strong presence in Africa.</t>
  </si>
  <si>
    <t>Varies by region and program.</t>
  </si>
  <si>
    <t>SAP CSR / SAP Next-Gen</t>
  </si>
  <si>
    <t>SAP</t>
  </si>
  <si>
    <t>https://news.sap.com/2025/01/wef-2025-social-innovation-accelerating-impact-businesses/</t>
  </si>
  <si>
    <t>: STEM education, digital skills, fostering innovation, supporting social enterprises (often using SAP technologies).</t>
  </si>
  <si>
    <t>Schneider Electric Foundation / CSR</t>
  </si>
  <si>
    <t>APC by Schneider Electric (UPS/Power Solutions)</t>
  </si>
  <si>
    <t>https://www.se.com/ww/en/about-us/sustainability/foundation/</t>
  </si>
  <si>
    <t>Access to energy, education, sustainable development. Relevant for power stability in your labs</t>
  </si>
  <si>
    <t>Schwab Foundation</t>
  </si>
  <si>
    <t>https://www.schwabfound.org</t>
  </si>
  <si>
    <t>Social entrepreneurship</t>
  </si>
  <si>
    <t>World Economic Forum partner</t>
  </si>
  <si>
    <t>Science and Math Grants (K-12 &amp; Grade 7-12)</t>
  </si>
  <si>
    <t>Toshiba America Foundation (Primarily US)</t>
  </si>
  <si>
    <t>https://www.toshiba.com/taf/</t>
  </si>
  <si>
    <t>Improving STEM education in US schools</t>
  </si>
  <si>
    <t>US-based schools. Not directly relevant for Kenya, but
 listed for completeness</t>
  </si>
  <si>
    <t>Small ($1,000-$5,000) to large ($5,000+)</t>
  </si>
  <si>
    <t>Annual (e.g., Oct for large grants, March for small).</t>
  </si>
  <si>
    <t>SCILLS</t>
  </si>
  <si>
    <t>Internet Society</t>
  </si>
  <si>
    <t>https://www.isocfoundation.org</t>
  </si>
  <si>
    <t>Connectivity &amp; inclusion</t>
  </si>
  <si>
    <t>~$250K/project</t>
  </si>
  <si>
    <t>Open 2023+</t>
  </si>
  <si>
    <t>Seagate Technology Public Relations / CSR</t>
  </si>
  <si>
    <t>Seagate Technology</t>
  </si>
  <si>
    <t>https://www.seagate.com/esg/</t>
  </si>
  <si>
    <t>Data for good, education, community support.</t>
  </si>
  <si>
    <t>Seeds for the Future Programme</t>
  </si>
  <si>
    <t>https://www.huawei.com/ke/corporate-citizenship/seeds-for-the-future</t>
  </si>
  <si>
    <t>Developing local ICT talent, knowledge sharing, raising awareness in the tech sector (often involves training, internships).</t>
  </si>
  <si>
    <t>Segal Family Foundation</t>
  </si>
  <si>
    <t>https://segalfamilyfoundation.org</t>
  </si>
  <si>
    <t>African NGO support</t>
  </si>
  <si>
    <t>$25k–100k</t>
  </si>
  <si>
    <t>Youth &amp; innovation</t>
  </si>
  <si>
    <t>SES Corporate Social Responsibility (often partnerships)</t>
  </si>
  <si>
    <t>SES Networks (Satellite operator)</t>
  </si>
  <si>
    <t>https://www.ses.com/news/events/east-africa-com</t>
  </si>
  <si>
    <t>Bridging the digital divide, providing connectivity for education and humanitarian aid</t>
  </si>
  <si>
    <t>Varies, often for large-scale projects</t>
  </si>
  <si>
    <t>Siemens Foundation STEM Grants (primarily US, but look for international initiatives)</t>
  </si>
  <si>
    <t>Siemens Foundation</t>
  </si>
  <si>
    <t>https://www.siemens-stiftung.org/en/</t>
  </si>
  <si>
    <t>Advancing STEM education and workforce development</t>
  </si>
  <si>
    <t>Primarily US-based non-profits and educational institutions</t>
  </si>
  <si>
    <t>Sigrid Rausing Trust</t>
  </si>
  <si>
    <t>https://www.sigrid-rausing-trust.org</t>
  </si>
  <si>
    <t>Democracy &amp; freedom funding</t>
  </si>
  <si>
    <t>Established NGOs</t>
  </si>
  <si>
    <t>SkillsBuild + CSR</t>
  </si>
  <si>
    <t>https://skillsbuild.org</t>
  </si>
  <si>
    <t>Digital skills &amp; AI</t>
  </si>
  <si>
    <t>Skoll Foundation</t>
  </si>
  <si>
    <t>https://skoll.org</t>
  </si>
  <si>
    <t>Scalable social solutions</t>
  </si>
  <si>
    <t>High-impact orgs</t>
  </si>
  <si>
    <t>Slack for Good</t>
  </si>
  <si>
    <t>Slack</t>
  </si>
  <si>
    <t>https://slack.com/about/slack-for-good</t>
  </si>
  <si>
    <t>Supporting organizations that are doing good in the world, often through access to their communication platform. Focus on digital equity, environment, and social justice.</t>
  </si>
  <si>
    <t>software).
 o Eligibility Criteria: N</t>
  </si>
  <si>
    <t>rolling</t>
  </si>
  <si>
    <t>Solar E-Waste Challenge (Note: 2019 deadline, but look for new rounds or similar initiatives)</t>
  </si>
  <si>
    <t>Global LEAP Awards / Efficiency for Access Coalition
 (USAID partnership)</t>
  </si>
  <si>
    <t>https://efficiencyforaccess.org/solar-e-waste-challenge1/</t>
  </si>
  <si>
    <t>Innovative approaches to e-waste management in the off-grid solar sector in sub-Saharan Africa</t>
  </si>
  <si>
    <t>Recycling/e-waste companies, off-grid solar companies,
 service providers in sub-Saharan Africa</t>
  </si>
  <si>
    <t>Varies (older deadline was May 15, 2019 – look for new rounds)</t>
  </si>
  <si>
    <t>Sony Global Social Justice Fund</t>
  </si>
  <si>
    <t>https://www.sony.com/en/SonyInfo/csr/community/social_justice_fund/#:~:text=To%20further%20these%20efforts%2C%20in,foster%20DE%26I%20around%20the%20world.</t>
  </si>
  <si>
    <t>Supporting social justice initiatives globally, including educational equity, digital access, and empowering underrepresented communities.</t>
  </si>
  <si>
    <t>Non-profit organizations working on social justice issues</t>
  </si>
  <si>
    <t>South Asia Peace Fellowships</t>
  </si>
  <si>
    <t>Fully funded peace &amp; development diploma</t>
  </si>
  <si>
    <t>(my.rotary.org)</t>
  </si>
  <si>
    <t>Fully funded</t>
  </si>
  <si>
    <t>Peace &amp; conflict resolution professionals</t>
  </si>
  <si>
    <t>Splunk for Good</t>
  </si>
  <si>
    <t>Splunk</t>
  </si>
  <si>
    <t>https://www.splunk.com/en_us/blog/splunk-for-good.html</t>
  </si>
  <si>
    <t>Data for good, workforce development, education, and leveraging data for social impact.</t>
  </si>
  <si>
    <t>Non-profits using data for social good</t>
  </si>
  <si>
    <t>STEM in Schools</t>
  </si>
  <si>
    <t>MTN Foundation</t>
  </si>
  <si>
    <t>https://foundation.mtn.com</t>
  </si>
  <si>
    <t>Connectivity + learning</t>
  </si>
  <si>
    <t>Annually</t>
  </si>
  <si>
    <t>Strengthening Economic Resilience in Kenya Through Strategic Partnerships</t>
  </si>
  <si>
    <t>AUEDP-African Union Economic Development Program</t>
  </si>
  <si>
    <t>https://docs.google.com/forms/d/1Nrzhwlv84xVeQbLNKPWkSdoGc8bW3_hwT9srSkpmkXc/viewform?edit_requested=true&amp;fbclid=PAQ0xDSwLmNkhleHRuA2FlbQIxMAABp5QAqnTfcKZkf5bjNVV4K_pSqFNt9nBdjwBJA5HdLOim-1J6M2YhIr4yTssi_aem_M9sYL_rv6YXJaUnt8blqag&amp;pli=1#responses?utm_medium=paid&amp;utm_source=ig&amp;utm_id=120228689840440128&amp;utm_content=120228689841520128&amp;utm_term=120228689840740128&amp;utm_campaign=120228689840440128&amp;fbclid=PAZXh0bgNhZW0BMABhZGlkAasjW0C_rrABp8m5hVsgfndeD4FvQ70mLS8amGxJoO7Y8FG07udshb7rvZN1dF0ijPRdSc4a_aem_-qbgsF0_dNg0j2gu2kKG8g</t>
  </si>
  <si>
    <t>Stripe Climate Grants</t>
  </si>
  <si>
    <t>Stripe</t>
  </si>
  <si>
    <t>https://docs.stripe.com/climate/commitments#:~:text=Stripe%20puts%20these%20contributions%20toward,use%20a%20transparent%20application%20process.</t>
  </si>
  <si>
    <t>Direct funding for emerging carbon removal technologies.</t>
  </si>
  <si>
    <t>Startups/research projects focused on carbon removal.</t>
  </si>
  <si>
    <t>Sustainable Impact / HP Foundation</t>
  </si>
  <si>
    <t>HP (Hewlett-Packard)</t>
  </si>
  <si>
    <t>https://www.hp.com/us-en/sustainable-impact.html</t>
  </si>
  <si>
    <t>Digital equity, climate action, human rights (often includes tech access and e-waste).</t>
  </si>
  <si>
    <t>Swift Foundation</t>
  </si>
  <si>
    <t>https://swiftfoundation.org</t>
  </si>
  <si>
    <t>Indigenous-led conservation work</t>
  </si>
  <si>
    <t>Tech for Social Impact</t>
  </si>
  <si>
    <t>Microsoft</t>
  </si>
  <si>
    <t>https://aka.ms/techforsocialimpact</t>
  </si>
  <si>
    <t>Cloud access &amp; digital literacy</t>
  </si>
  <si>
    <t>Tech for Social Impact (Cash Grants)</t>
  </si>
  <si>
    <t>https://www.microsoft.com/en-us/nonprofits/eligibility</t>
  </si>
  <si>
    <t>Digital transformation, skills development, inclusive economic growth, sustainable tech.</t>
  </si>
  <si>
    <t>501(c)(3) or equivalent, often for projects leveraging Microsoft cloud</t>
  </si>
  <si>
    <t>Tech for Social Impact (Software &amp; Cloud Credits)</t>
  </si>
  <si>
    <t>https://www.microsoft.com/en-us/nonprofits</t>
  </si>
  <si>
    <t>Providing discounted/donated software and Azure cloud credits.</t>
  </si>
  <si>
    <t>Technology Product Donations (via partner tech companies)</t>
  </si>
  <si>
    <t>TechSoup Global</t>
  </si>
  <si>
    <t>https://www.techsoup.global/</t>
  </si>
  <si>
    <t>Providing discounted and donated software, hardware, and services to eligible non-profits globally.</t>
  </si>
  <si>
    <t>Registered non-profits (501(c)(3) or equivalent)</t>
  </si>
  <si>
    <t>Thousand Currents</t>
  </si>
  <si>
    <t>https://thousandcurrents.org</t>
  </si>
  <si>
    <t>Community wealth &amp; food sovereignty</t>
  </si>
  <si>
    <t>Local leadership focus</t>
  </si>
  <si>
    <t>Tony Elumelu Foundation</t>
  </si>
  <si>
    <t>African entrepreneurship incubation &amp; funding</t>
  </si>
  <si>
    <t>(The Tony Elumelu Foundation)</t>
  </si>
  <si>
    <t>Business growth &amp; scaling</t>
  </si>
  <si>
    <t>for Africa’s boldest founders</t>
  </si>
  <si>
    <t>TP-Link CSR</t>
  </si>
  <si>
    <t>TP-Link</t>
  </si>
  <si>
    <t>https://www.fundsforngos.org/how-to-write-a-proposal/writing-a-csr-proposal-that-focuses-on-educational-scholarships/</t>
  </si>
  <si>
    <t>Connectivity solutions, smart homes/offices</t>
  </si>
  <si>
    <t xml:space="preserve">varies </t>
  </si>
  <si>
    <t>TrustAfrica</t>
  </si>
  <si>
    <t>https://trustafrica.org</t>
  </si>
  <si>
    <t>Advocacy focus</t>
  </si>
  <si>
    <t>TWAS Seed Grant for New African Principal Investigators (SG-NAPI)</t>
  </si>
  <si>
    <t>https://grantsdatabase.org/2026/01/29/2026-twas-seed-grant-for-new-african-principal-investigators-sg-napi/</t>
  </si>
  <si>
    <t xml:space="preserve">This grant is particularly targeted at scientists from African countries identified as lagging in science and technology and aims to reverse brain drain by enabling researchers trained abroad to return home and contribute meaningfully to national development.
</t>
  </si>
  <si>
    <t>Twilio.org Impact Fund</t>
  </si>
  <si>
    <t>Twilio.org</t>
  </si>
  <si>
    <t>https://www.twilio.org/en-us/support-and-resources/impact-fund</t>
  </si>
  <si>
    <t>Supporting non-profits leveraging communications technology for social impact (e.g., education, crisis response, human services).</t>
  </si>
  <si>
    <t>Ubiquiti Education / CSR (less formalized)</t>
  </si>
  <si>
    <t>Ubiquiti Networks (UBNT)</t>
  </si>
  <si>
    <t>https://training.ui.com/</t>
  </si>
  <si>
    <t>Networking and broadband solutions.</t>
  </si>
  <si>
    <t>UBS Optimus Foundation Grant</t>
  </si>
  <si>
    <t>UBS Optimus Foundation</t>
  </si>
  <si>
    <t>https://www.ubs.com/global/en/sustainability-impact/social-impact-and-philanthropy/optimus-foundation/our-focus-area/education.html</t>
  </si>
  <si>
    <t>Health, education, child protection, environment. They are a grantmaking foundation that mobilizes resources for impact.</t>
  </si>
  <si>
    <t>Established non-profits with proven impact.</t>
  </si>
  <si>
    <t>Ultimaker Education Grants (less common, usually for specific projects)</t>
  </si>
  <si>
    <t>Ultimaker (3D Printing)</t>
  </si>
  <si>
    <t>https://ultimaker.com/applications/education/</t>
  </si>
  <si>
    <t>Promoting 3D printing in education for innovation and STEM</t>
  </si>
  <si>
    <t>Educational institutions</t>
  </si>
  <si>
    <t>UNESCO ICT Prize</t>
  </si>
  <si>
    <t>UNESCO Participation Programme</t>
  </si>
  <si>
    <t>Supports NGO partnerships and international collaboration in UNESCO fields</t>
  </si>
  <si>
    <t>Annual cycle</t>
  </si>
  <si>
    <t>Cultural, education, sciences support</t>
  </si>
  <si>
    <t>UNESCO World Heritage</t>
  </si>
  <si>
    <t>Supports conservation and cultural heritage projects</t>
  </si>
  <si>
    <t>Heritage sector focus</t>
  </si>
  <si>
    <t>UNESCO-UNEVOC Global Awards for Innovation in TVET</t>
  </si>
  <si>
    <t>https://grantsdatabase.org/2025/12/11/unesco-unevoc-global-awards-for-innovation-in-tvet-2026</t>
  </si>
  <si>
    <t>The UNESCO-UNEVOC Global Awards for Innovation in TVET 2026 provide a platform for institutions that are redefining the future of skills, technology, inclusion, and sustainability in education and training.</t>
  </si>
  <si>
    <t>Social impact startups support</t>
  </si>
  <si>
    <t>(Opportunities For Africans)</t>
  </si>
  <si>
    <t>—</t>
  </si>
  <si>
    <t>Youth innovation focus</t>
  </si>
  <si>
    <t>for young Ghanaian Social Impact Startups.</t>
  </si>
  <si>
    <t>UNICEF Innovation Fund</t>
  </si>
  <si>
    <t>United Nations Voluntary Trust Fund on Contemporary Forms of Slavery</t>
  </si>
  <si>
    <t>Funding to combat modern slavery &amp; support survivors</t>
  </si>
  <si>
    <t>Human rights &amp; protection focus</t>
  </si>
  <si>
    <t>Urgent Action Fund</t>
  </si>
  <si>
    <t>https://urgentactionfund.org</t>
  </si>
  <si>
    <t>Emergency feminist protection</t>
  </si>
  <si>
    <t>Quick turnaround</t>
  </si>
  <si>
    <t>Various (e.g., ICT in Education, Youth Development
 Programme, Digital Literac</t>
  </si>
  <si>
    <t>Vodacom Foundation</t>
  </si>
  <si>
    <t>https://www.vodacom.com/vodacom-foundation.php</t>
  </si>
  <si>
    <t>Digital literacy, youth development, gender empowerment through
 ICT, ICT in agriculture. Strong focus on using technology for social change</t>
  </si>
  <si>
    <t>Registered non-profits in their operating countries (South Africa, Tanzania, DRC, Mozambique, Lesotho, Ghana, etc.).</t>
  </si>
  <si>
    <t>Various (often loans or large-scale project financing, but also specific trust funds/grants for innovation, education, green tech</t>
  </si>
  <si>
    <t>World Bank Group (IDA, IFC)</t>
  </si>
  <si>
    <t>https://www.worldbank.org/en/programs/all-africa-digital-transformation</t>
  </si>
  <si>
    <t>Digital development, education transformation, climate-smart development in developing countries</t>
  </si>
  <si>
    <t>Often for government entities or large NGOs, but look for
 smaller specific calls.</t>
  </si>
  <si>
    <t>Various (often manages donor-advised funds with tech/education interes</t>
  </si>
  <si>
    <t>Tides Foundation (Funds various social justice issues)</t>
  </si>
  <si>
    <t>https://www.tides.org/</t>
  </si>
  <si>
    <t>Broad social justice, environment, education, digital equity. They host numerous donor-advised funds.</t>
  </si>
  <si>
    <t>Varies by specific fund</t>
  </si>
  <si>
    <t>Various cultural and educational programs (often includes digital projects).</t>
  </si>
  <si>
    <t>Goethe-Institut (often has digital literacy/tech components)</t>
  </si>
  <si>
    <t>https://www.goethe.de/ins/ke/en/kul.html</t>
  </si>
  <si>
    <t>Cultural exchange, education, promoting German language, but increasingly includes digital skills and innovation in education</t>
  </si>
  <si>
    <t>Various development initiatives (sometimes includes digital integration</t>
  </si>
  <si>
    <t>East African Community (EAC) Secretariat (Partnershipfocused</t>
  </si>
  <si>
    <t>https://www.eac.int/</t>
  </si>
  <si>
    <t>Regional integration, infrastructure, education, economic development</t>
  </si>
  <si>
    <t>Member states, regional organizations</t>
  </si>
  <si>
    <t>Various development programs (e.g., Digital Access, Education in Emergencies, Climate &amp; Environment)</t>
  </si>
  <si>
    <t>UK Foreign, Commonwealth &amp; Development Office (FCDO</t>
  </si>
  <si>
    <t>https://royalsociety.org/grants/africa-capacity-building/</t>
  </si>
  <si>
    <t>Education, economic development, climate change, technology for development in Africa.</t>
  </si>
  <si>
    <t>Various programs, e.g., Green Innovation Centers, Digital Transformation Centers</t>
  </si>
  <si>
    <t>GIZ (Deutsche Gesellschaft für Internationale Zusammenarbeit)</t>
  </si>
  <si>
    <t>https://www.giz.de/en/worldwide/134205.html#:~:text=The%20Digital%20Transformation%20Center%20promotes,their%20digital%20and%20green%20transformation.</t>
  </si>
  <si>
    <t>Implementing German development cooperation priorities, including digital development, sustainable economy, and education</t>
  </si>
  <si>
    <t>Often for consortia, specific expertise</t>
  </si>
  <si>
    <t>Various project calls related to waste management and circular economy</t>
  </si>
  <si>
    <t>PREVENT Waste Alliance (German initiative)</t>
  </si>
  <si>
    <t>https://prevent-waste.net/our-projects/</t>
  </si>
  <si>
    <t>Developing and implementing solutions for a circular economy, often with pilots in developing countries. E-waste is a key topic</t>
  </si>
  <si>
    <t>Organizations working on waste prevention, collection, and
 recycling</t>
  </si>
  <si>
    <t>Visa Foundation Grants</t>
  </si>
  <si>
    <t>Visa Foundation</t>
  </si>
  <si>
    <t>https://africa.visa.com/en_MW/about-visa/visa-foundation.html</t>
  </si>
  <si>
    <t>Supporting micro and small enterprises, promoting financial inclusion, particularly for women, and fostering sustainable economic growth</t>
  </si>
  <si>
    <t>VMware Foundation Grants / Citizenship Programs</t>
  </si>
  <si>
    <t>VMware Foundation</t>
  </si>
  <si>
    <t>https://blogs.vmware.com/vsphere/2019/12/vmware-service-charity-giving.html#:~:text=Every%20full%2Dtime%20employee%20globally,grant%20from%20the%20VMware%20Foundation.</t>
  </si>
  <si>
    <t>Powering digital transformation for nonprofits, promoting digital inclusion, environmental sustainability, and workforce development</t>
  </si>
  <si>
    <t>Wacom Education Discounts / CSR</t>
  </si>
  <si>
    <t>Wacom (Digital Drawing Tablets)</t>
  </si>
  <si>
    <t>https://www.wacom.com/en-us/education/products-for-education</t>
  </si>
  <si>
    <t>Digital creativity in education.</t>
  </si>
  <si>
    <t>Educational institution</t>
  </si>
  <si>
    <t>Wallace Global Fund</t>
  </si>
  <si>
    <t>https://wgf.org</t>
  </si>
  <si>
    <t>Climate &amp; social justice funding</t>
  </si>
  <si>
    <t>Advocacy + grassroots</t>
  </si>
  <si>
    <t>Wellcome Trust</t>
  </si>
  <si>
    <t>Large grants for early‑career researchers</t>
  </si>
  <si>
    <t>(Wellcome)</t>
  </si>
  <si>
    <t>$500,000–$1M</t>
  </si>
  <si>
    <t>17‑Feb‑2026</t>
  </si>
  <si>
    <t>Health research innovation</t>
  </si>
  <si>
    <t>for early-career researchers</t>
  </si>
  <si>
    <t>Western Digital Foundation / CSR</t>
  </si>
  <si>
    <t>Western Digital</t>
  </si>
  <si>
    <t>https://www.westerndigital.com/company/corporate-responsibility/philanthropy</t>
  </si>
  <si>
    <t>STEM education, digital literacy, community development</t>
  </si>
  <si>
    <t>Wireless Reach</t>
  </si>
  <si>
    <t>Qualcomm</t>
  </si>
  <si>
    <t>https://www.qualcomm.com/company/locations/africa/qualcomm-make-in-africa</t>
  </si>
  <si>
    <t>Sustainable programs that bring wireless technology to underserved communities, focusing on education, entrepreneurship, public safety, and health.</t>
  </si>
  <si>
    <t>Often through collaborations with NGOs, academic institutions, and governments</t>
  </si>
  <si>
    <t>Women’s Peace &amp; Humanitarian Fund</t>
  </si>
  <si>
    <t>Supports women’s rights &amp; peacebuilding initiatives</t>
  </si>
  <si>
    <t>(Women’s Peace and Humanitarian Fund)</t>
  </si>
  <si>
    <t>Up to ~$100,000</t>
  </si>
  <si>
    <t>Rolling / various windows</t>
  </si>
  <si>
    <t>Focus on women’s leadership &amp; crisis zones</t>
  </si>
  <si>
    <t>for peer learning of civil society organizations (CSOs) working on women, youth, peace and humanitarian </t>
  </si>
  <si>
    <t>World Food Programme</t>
  </si>
  <si>
    <t>Equity‑free funding for food security solutions</t>
  </si>
  <si>
    <t>(innovation.wfp.org)</t>
  </si>
  <si>
    <t>Up to $100,000</t>
  </si>
  <si>
    <t>Focus on scalable innovations</t>
  </si>
  <si>
    <t>in existence for at least 2 years; humanitarian</t>
  </si>
  <si>
    <t>Xerox Community Involvement Program / Global Philanthropy</t>
  </si>
  <si>
    <t>Xerox</t>
  </si>
  <si>
    <t>https://www.xerox.com/corporate-social-responsibility/2018/society/philanthropy.html</t>
  </si>
  <si>
    <t>Education, workforce preparedness, community development, technology access</t>
  </si>
  <si>
    <t>Non-profits in communities where Xerox has a presence</t>
  </si>
  <si>
    <t>Youth Forward / Education &amp; Learning</t>
  </si>
  <si>
    <t>https://mastercardfdn.org/en/</t>
  </si>
  <si>
    <t>Youth employment, education, and financial inclusion in Africa. Digital skills are a key component.</t>
  </si>
  <si>
    <t>Focus on Africa, often for large-scale, impactful programs</t>
  </si>
  <si>
    <t>Zebra Technologies Foundation Grants</t>
  </si>
  <si>
    <t>Zebra Technologies Foundation</t>
  </si>
  <si>
    <t>https://www.zebra.com/us/en/about-zebra/company-information/corporate-social-responsibility/social/philanthropy-volunteerism.html</t>
  </si>
  <si>
    <t>Education (STEM, digital literacy), healthcare, community development</t>
  </si>
  <si>
    <t>Varies (often specific cycles)</t>
  </si>
  <si>
    <t>Zoom Cares</t>
  </si>
  <si>
    <t>Zoom</t>
  </si>
  <si>
    <t>https://www.zoom.com/en/zoom-cares/#:~:text=Zoom%20for%20Nonprofits%20is%20Zoom's,Webinar%20up%20to%205%2C000%20attendees.</t>
  </si>
  <si>
    <t>Education, crisis response, and supporting environmental sustainability through collaboration technology</t>
  </si>
  <si>
    <t>title</t>
  </si>
  <si>
    <t>funding_organization</t>
  </si>
  <si>
    <t>grant_amount</t>
  </si>
  <si>
    <t>deadline</t>
  </si>
  <si>
    <t>geographic_focus</t>
  </si>
  <si>
    <t>thematic_areas</t>
  </si>
  <si>
    <t>eligibility_criteria</t>
  </si>
  <si>
    <t>description</t>
  </si>
  <si>
    <t>application_url</t>
  </si>
  <si>
    <t>date_posted</t>
  </si>
  <si>
    <t xml:space="preserve">Comments </t>
  </si>
  <si>
    <t>Comments Date</t>
  </si>
  <si>
    <t>Apply Now: $300,000 for Early-Stage Social Impact Organizations</t>
  </si>
  <si>
    <t>["social impact", "healthcare", "education", "digital access"]</t>
  </si>
  <si>
    <t>2.8 billion people still live on less than $2 per day and critical gaps persist in healthcare, education, and digital access across the Global South. Yet early-stage...</t>
  </si>
  <si>
    <t>https://www.ictworks.org/apply-now-300000-for-early-stage-social-impact-organizations/</t>
  </si>
  <si>
    <t>Dec 15 2025</t>
  </si>
  <si>
    <t>our responses indicate that your organization is likely not a funding fit for DRK based on impact focus, systems change potential, organizational stage, scalability, organizational structure, and/or geographic impact.</t>
  </si>
  <si>
    <t>26.02.2026</t>
  </si>
  <si>
    <t>Apply Now: $150,000 Unrestricted Funding for Scaling Your Impact</t>
  </si>
  <si>
    <t>["digital innovations", "scaling impact"]</t>
  </si>
  <si>
    <t>The gap between promising digital innovations and transformative impact at scale remains one of development’s most persistent challenges. Subscribe Now for...</t>
  </si>
  <si>
    <t>https://www.ictworks.org/unrestricted-funding-for-scaling-your-impact/</t>
  </si>
  <si>
    <t>Nov 24 2025</t>
  </si>
  <si>
    <t xml:space="preserve">Deadline was December 3, 2025; signed to be notified of next application cycle. </t>
  </si>
  <si>
    <t>Apply Now: $150,000 for Your Digital Transformation Solution</t>
  </si>
  <si>
    <t>["digital transformation", "social services", "nonprofit technology"]</t>
  </si>
  <si>
    <t>1.8 billion people still lack access to essential social services. Yet the nonprofit sector faces a persistent technology gap that undermines mission delivery. Sign...</t>
  </si>
  <si>
    <t>https://www.ictworks.org/apply-now-150000-for-your-digital-transformation-solution/</t>
  </si>
  <si>
    <t>Oct 27 2025</t>
  </si>
  <si>
    <t>Deadline was November 10, 2025</t>
  </si>
  <si>
    <t>Apply Now: £150,000 for Your Digital Development Social Venture</t>
  </si>
  <si>
    <t>£150,000</t>
  </si>
  <si>
    <t>["digital development", "social ventures", "ICT4D"]</t>
  </si>
  <si>
    <t>The development sector faces a paradox. Despite decades of innovation in ICT4D solutions, most social ventures remain trapped in a cycle of small grants and limited...</t>
  </si>
  <si>
    <t>https://www.ictworks.org/digital-development-social-venture/</t>
  </si>
  <si>
    <t>Oct 20 2025</t>
  </si>
  <si>
    <t>Deadline is November 10, 2025. Keep checking for next opening</t>
  </si>
  <si>
    <t>Creag Foundation Grant</t>
  </si>
  <si>
    <t>Creag Foundation</t>
  </si>
  <si>
    <t>["Environment", "Diseases &amp; Conditions", "Human &amp; Social Services"]</t>
  </si>
  <si>
    <t>The Creag Foundation, established in 2009 in Woodinville, Washington, provides funding to innovative 501(c)(3) nonprofit organizations addressing social issues. Focused on smaller organizations, the foundation seeks to support those with unique approaches to improve the human condition. Eligible applicants must have held 501(c)(3) status for at least one year and present a new or previously unaddressed solution to societal challenges. Applications are by invitation only, encouraging creativity and passion in charitable work.</t>
  </si>
  <si>
    <t>https://www.instrumentl.com/grants/creag-foundation-grant</t>
  </si>
  <si>
    <t>Meets 4/5 min requirements (nonprofits, not competition, Africa focus, relates to e-waste/recycling and digital divide via Environment and Human &amp; Social Services). Invitation-only for smaller innovative orgs fits new org with unique approach, but lacks direct education/children focus and 1-year 501(c)(3) may be borderline.</t>
  </si>
  <si>
    <t>Pursue invitation by emailing foundation with passionate pitch on innovative e-waste refurbishment for digital literacy in Kenyan schools, tying to Environment (circular economy) and Human &amp; Social Services (closing digital divide for underserved youth). Use grant for refurbishing/distributing devices to schools.</t>
  </si>
  <si>
    <t>["Environment", "Human &amp; Social Services"]</t>
  </si>
  <si>
    <t>Draper Richards Kaplan Foundation Grants</t>
  </si>
  <si>
    <t>Up to US $300,000</t>
  </si>
  <si>
    <t>["Education", "Social Justice / Human Rights", "Energy"]</t>
  </si>
  <si>
    <t>The Draper Richards Kaplan Foundation provides grants to early-stage social entrepreneurs working on scalable solutions to pressing social and environmental issues. By supporting organizations with innovative approaches and proven impact, they aim to uplift underserved communities globally. The foundation offers operational support, funding of up to $300,000 over three years, and fosters a collaborative community among its portfolio organizations. They focus on candidates demonstrating measurable impact and sustainable growth potential.</t>
  </si>
  <si>
    <t>https://www.instrumentl.com/grants/draper-richards-kaplan-foundation-grants</t>
  </si>
  <si>
    <t>Strong match for early-stage nonprofits in education with scalable impact in Africa; innovative e-waste to digital literacy model fits perfectly despite new org status.</t>
  </si>
  <si>
    <t>Apply as early-stage social entrepreneur emphasizing scalable refurbishment/distribution of IT equipment to underserved Kenyan schools; use up to $300k for operations, leverage support for proven impact metrics like devices deployed and literacy gains.</t>
  </si>
  <si>
    <t>["Education"]</t>
  </si>
  <si>
    <t>Cisco Systems Foundation</t>
  </si>
  <si>
    <t>Up to US $75,000</t>
  </si>
  <si>
    <t>["Economic Services &amp; Development", "Entrepreneurship", "Disaster Relief / Humanitarian Aid"]</t>
  </si>
  <si>
    <t>The Global Impact Cash Grants by Cisco Systems Foundation support innovative early-stage solutions aimed at addressing significant social problems. Targeting nonprofit and nongovernmental organizations, these grants focus on four key sectors: crisis response, education, economic empowerment, and climate regeneration. Eligible organizations must demonstrate alignment with these areas, particularly serving underserved communities. The foundation seeks to leverage technology for impactful solutions, ensuring sustainability and community resilience through strategic investments.</t>
  </si>
  <si>
    <t>https://www.instrumentl.com/grants/global-impact-grants</t>
  </si>
  <si>
    <t>Strong match: Targets early-stage nonprofits in education using technology for underserved communities in Africa; aligns with digital literacy, tech education, e-waste/circular economy via climate regeneration; suitable for new org.</t>
  </si>
  <si>
    <t>Submit application emphasizing innovative use of refurbished IT equipment to bridge digital divide in Kenyan schools, leveraging Cisco's tech focus for sustainable education impact; highlight circular economy for climate alignment.</t>
  </si>
  <si>
    <t>["education", "climate regeneration", "economic empowerment"]</t>
  </si>
  <si>
    <t>US $10,000 in in-kind support</t>
  </si>
  <si>
    <t>["All fields of work"]</t>
  </si>
  <si>
    <t>Google Ad Grants empowers nonprofits by providing $10,000 monthly for in-kind advertising, enabling them to reach potential donors and volunteers through Google search ads. This program enhances visibility for organizations by showcasing their missions to those searching for nonprofits. By utilizing effective campaign tools, nonprofits can create impactful text-based ads, ensuring their messages resonate with a wider audience. This initiative not only raises awareness but also fosters community engagement and support for charitable causes.</t>
  </si>
  <si>
    <t>https://www.instrumentl.com/grants/google-ad-grants</t>
  </si>
  <si>
    <t>Meets 3/5 minimum requirements (nonprofits, not a contest, Africa focus); provides in-kind ads to boost visibility for new org, enabling donor/volunteer recruitment to support IT distribution; strong indirect path but not direct equipment funding.</t>
  </si>
  <si>
    <t>Run targeted Google Ads campaigns on keywords like 'donate laptops Kenya schools', 'e-waste recycling Africa', 'digital literacy programs underserved areas' to attract corporate equipment donors, refurbishing volunteers, and cash supporters for distribution to African schools.</t>
  </si>
  <si>
    <t>["digital literacy", "technology education", "digital divide", "STEM education", "capacity building"]</t>
  </si>
  <si>
    <t>Hansen Family Foundation Grant</t>
  </si>
  <si>
    <t>Hansen Family Foundation</t>
  </si>
  <si>
    <t>["Youth Services", "Animal Welfare - General", "Renewable/Sustainable Energy"]</t>
  </si>
  <si>
    <t>The Hansen Family Foundation Grant seeks to empower organizations that uphold the American values of life, liberty, and the pursuit of happiness. Focused on diverse causes like children, education, animals, environmental conservation, humanitarian efforts, and arts, the foundation is committed to supporting initiatives that create positive change. Eligible applicants must be 501(c)(3) nonprofits, while political campaigns and organizations with high budgets or overheads are ineligible. This grant fosters impactful contributions to society.</t>
  </si>
  <si>
    <t>https://www.instrumentl.com/grants/w-t-hansen-family-foundation-grant</t>
  </si>
  <si>
    <t>Meets 4+ min requirements: accepts nonprofits, not a contest, focuses on children/youth/education, Africa geographic focus, relates to e-waste/recycling and sustainable practices under Renewable/Sustainable Energy theme. Strong alignment with youth services and sustainability for refurbished tech distribution to African schools, plausible for new org with low overhead.</t>
  </si>
  <si>
    <t>Frame application under 'Youth Services' for providing refurbished IT to underserved Kenyan schools to promote digital literacy and education, emphasizing circular economy/e-waste management under 'Renewable/Sustainable Energy' to empower children and close digital divide.</t>
  </si>
  <si>
    <t>["Youth Services", "Renewable/Sustainable Energy"]</t>
  </si>
  <si>
    <t>Lawrence Foundation Grant</t>
  </si>
  <si>
    <t>Lawrence Foundation</t>
  </si>
  <si>
    <t>US $5,000 - US $10,000</t>
  </si>
  <si>
    <t>["Community Services", "Environmental Conservation", "Ecology"]</t>
  </si>
  <si>
    <t>The Lawrence Foundation is a private family foundation established in 2000, dedicated to granting funds for environmental and human services causes. Eligible organizations include 501(c)(3) nonprofits and public schools, with grants typically ranging from $5,000 to $10,000. The foundation supports unrestricted grants for various projects, including disaster relief and environmental programs, but does not fund individuals or for-profit entities. Applications are evaluated based on alignment with the foundation's priorities.</t>
  </si>
  <si>
    <t>https://www.instrumentl.com/grants/lawrence-foundation-grant</t>
  </si>
  <si>
    <t>Meets 4/5 minimum requirements (accepts nonprofits, not a contest, Africa focus, relates to e-waste/recycling). Aligns with environmental conservation (e-waste/circular economy) and community services (school distributions), suitable for new org with small grants.</t>
  </si>
  <si>
    <t>Apply framing project as e-waste recycling and circular economy initiative that supports human services by providing refurbished IT to underserved African schools, requesting $5k-10k for refurbishing equipment destined for Kenyan schools.</t>
  </si>
  <si>
    <t>Bess Spiva Timmons Foundation Grants</t>
  </si>
  <si>
    <t>Bess Spiva Timmons Foundation</t>
  </si>
  <si>
    <t>US $1,000 - US $5,000</t>
  </si>
  <si>
    <t>["Education", "Health &amp; Medicine", "Art &amp; Culture"]</t>
  </si>
  <si>
    <t>The Bess Spiva Timmons Foundation, established in 1967, supports not-for-profit organizations with IRS 501(c)(3) designation, prioritizing smaller, grassroots groups. Grants generally range from one to five thousand dollars, focusing on education, health, medical research, arts, and social services benefiting minority groups. Note that the foundation does not fund individuals, for-profit ventures, or major capital projects, and it has a limit on the number of grant proposals it accepts annually.</t>
  </si>
  <si>
    <t>https://www.instrumentl.com/grants/bess-spiva-timmons-foundation-grant-programme</t>
  </si>
  <si>
    <t>Strong alignment with education theme and Africa focus; prioritizes small grassroots nonprofits suitable for new org. IT equipment distribution can be framed as education supplies for digital literacy, though no explicit tech mention.</t>
  </si>
  <si>
    <t>Prepare a concise proposal emphasizing education impact via refurbished IT for Kenyan schools; request $3-5k for refurb supplies, minor shipping, or initial computer lab setup in underserved areas.</t>
  </si>
  <si>
    <t>Tomberg &amp; Brecher Charitable Funds Grant</t>
  </si>
  <si>
    <t>Tomberg Family Philanthropies</t>
  </si>
  <si>
    <t>US $5,000 - US $20,000</t>
  </si>
  <si>
    <t>["Education", "Poverty Alleviation &amp; Services", "Health &amp; Medicine"]</t>
  </si>
  <si>
    <t>The Tomberg Family Philanthropies supports impactful programs in education, health, environment, and poverty alleviation, focusing on projects that empower communities for sustainable change. They exclusively fund 501(c)(3) nonprofit organizations in the U.S. and seek innovative initiatives that maximize limited resources. Note that grants typically do not cover ongoing operational costs or projects run by religious organizations. Applications for the current funding cycle are open until September 8, 2025.</t>
  </si>
  <si>
    <t>https://www.instrumentl.com/grants/tomberg-brecher-charitable-funds-grant</t>
  </si>
  <si>
    <t>Strong match: Funds U.S. 501(c)(3) nonprofits for education and poverty alleviation in Africa; innovative refurbishment of IT for schools aligns with maximizing resources, though not explicitly tech-focused and avoids ongoing ops costs.</t>
  </si>
  <si>
    <t>Submit application by Sept 8, 2025, for a project funding the refurbishment and distribution of donated IT equipment to Kenyan schools, framing it as an innovative, sustainable education initiative closing the digital divide and promoting circular economy.</t>
  </si>
  <si>
    <t>["Education", "Poverty Alleviation &amp; Services"]</t>
  </si>
  <si>
    <t>Gupta Family Foundation Grant</t>
  </si>
  <si>
    <t>Gupta Family Foundation</t>
  </si>
  <si>
    <t>US $5,000 - US $250,000</t>
  </si>
  <si>
    <t>["Disaster Relief / Humanitarian Aid", "Poverty Alleviation &amp; Services", "Human &amp; Social Services"]</t>
  </si>
  <si>
    <t>The Gupta Family Foundation Grant aims to empower disadvantaged individuals by providing financial support to organizations that foster self-reliance. Headquartered in Herndon, Virginia, the foundation offers grants ranging from $5,000 to over $250,000, prioritizing smaller organizations with a strong commitment to their missions. Eligibility typically includes US-based IRS 501(c)(3) entities, with operations extending to countries like India and Kenya. The foundation emphasizes mission alignment and effective resource allocation to ensure maximum impact.</t>
  </si>
  <si>
    <t>https://www.instrumentl.com/grants/gupta-family-foundation-grant</t>
  </si>
  <si>
    <t>Meets 3/5 min requirements (nonprofits, not a contest, Africa/Kenya focus). Good alignment with poverty alleviation via tech access for disadvantaged youth in Kenya, but lacks direct education/tech emphasis; plausible with adaptation for smaller new org.</t>
  </si>
  <si>
    <t>Apply as US 501(c)(3) with proposal framing refurbished IT distribution to Kenyan schools as poverty alleviation tool, building self-reliance through digital literacy for underserved children; request $10k-50k for refurbishing/shipping initial batch.</t>
  </si>
  <si>
    <t>["Poverty Alleviation &amp; Services", "Human &amp; Social Services"]</t>
  </si>
  <si>
    <t>Global Fund for Children Grants: Become a Partner</t>
  </si>
  <si>
    <t>Global Fund for Children</t>
  </si>
  <si>
    <t>["Youth Services", "Child Abuse &amp; Neglect", "Women's Rights &amp; Equality"]</t>
  </si>
  <si>
    <t>The Global Fund for Children invites community-based organizations worldwide to partner in improving the lives of children and youth. They seek dynamic groups aligned with their mission, focusing on grassroots solutions to tackle poverty, injustice, and discrimination. With a commitment to education, gender justice, safety, climate resilience, and youth empowerment, GFC builds strong relationships with potential partners, ensuring mutual growth and impact without requiring formal proposals.</t>
  </si>
  <si>
    <t>https://www.instrumentl.com/grants/global-fund-for-children-become-a-partner</t>
  </si>
  <si>
    <t>Meets 4/5 minimum requirements (accepts nonprofits/CBOs, not a contest, children/youth/education focus, Africa geographic focus). Strong alignment with youth/education in Africa; digital literacy/tech access can be positioned under youth empowerment and education, suitable for new grassroots org with simple partnership process.</t>
  </si>
  <si>
    <t>Contact GFC to become a partner, showcasing how sourcing/refurbishing IT equipment for Kenyan schools advances their education, youth empowerment, and poverty reduction goals by enabling digital literacy and technology access for underserved children.</t>
  </si>
  <si>
    <t>["Youth Services", "Education", "Africa"]</t>
  </si>
  <si>
    <t>Dr. Scholl Foundation Grants</t>
  </si>
  <si>
    <t>Dr Scholl Foundation</t>
  </si>
  <si>
    <t>US $5,000 - US $25,000</t>
  </si>
  <si>
    <t>Full proposal due</t>
  </si>
  <si>
    <t>["Education", "Environment", "Community Culture &amp; Heritage"]</t>
  </si>
  <si>
    <t>The Dr. Scholl Foundation offers grants annually to IRS 501(c)(3) organizations, primarily focusing on U.S. applicants. The foundation supports projects in education, social services, healthcare, civic and cultural initiatives, and environmental efforts. While the grant cycle runs from October 1 to March 1, it encourages innovative solutions to global challenges. Only one application per organization is accepted each year, and funding is limited to one year. Unqualified organizations, including political entities, are ineligible.</t>
  </si>
  <si>
    <t>https://www.instrumentl.com/grants/dr-scholl-foundation-grants</t>
  </si>
  <si>
    <t>Meets all 5 minimum requirements: accepts nonprofits, not a contest, focuses on education (digital literacy/tech for schools/children), geographic focus on Africa, relates to digital literacy, e-waste/recycling, refurbished tech, digital divide, and STEM. Strong fit for education and environment themes with innovative global solutions; plausible for new US 501(c)(3) despite primarily US applicants.</t>
  </si>
  <si>
    <t>Submit one application during Oct 1-Mar 1 cycle proposing funding for sourcing/refurbishing IT equipment from US companies and distributing to Kenyan schools, highlighting digital literacy programs, e-waste circular economy, and closing digital divide in underserved areas.</t>
  </si>
  <si>
    <t>["Education", "Environment"]</t>
  </si>
  <si>
    <t>NextWorldNow - Community Investments</t>
  </si>
  <si>
    <t>Nextworldnow Community Investments</t>
  </si>
  <si>
    <t>Up to US $10,000</t>
  </si>
  <si>
    <t>["Civic Engagement &amp; Education", "Education", "Water Resource Management"]</t>
  </si>
  <si>
    <t>NextWorldNow Community Investments aims to enhance community well-being through targeted funding for development projects. By supporting local initiatives, they ensure measurable social impact while fostering sustainable solutions. Their approach prioritizes direct engagement with communities, minimizing overhead to maximize the flow of resources. With a commitment to accountability and innovation, NWN invites proposals from diverse geographies, focused on long-term benefits for the communities. They believe small changes can lead to significant transformations, addressing unmet global needs.</t>
  </si>
  <si>
    <t>https://www.instrumentl.com/grants/nextworldnow-community-investments</t>
  </si>
  <si>
    <t>Meets 4/5 minimum requirements (nonprofits, not a contest, education focus, Africa geography). Education theme aligns with schools/digital literacy, but lacks explicit tech/e-waste focus; adaptation needed to frame as innovative sustainable education project.</t>
  </si>
  <si>
    <t>Propose project under 'Education' theme: refurbish donated IT equipment and distribute to rural Kenyan schools, measuring impact via student tech access and digital literacy gains; emphasize low-overhead, community-engaged sustainability and innovation.</t>
  </si>
  <si>
    <t>["Civic Engagement &amp; Education", "Education"]</t>
  </si>
  <si>
    <t>Dudley T. Dougherty Foundation Grant</t>
  </si>
  <si>
    <t>Dudley T Dougherty Foundation Inc</t>
  </si>
  <si>
    <t>["Community Services", "Environmental Conservation", "Environment"]</t>
  </si>
  <si>
    <t>The Dudley T. Dougherty Foundation Grant supports nonprofit charitable organizations recognized under section 501(c)(3) of the IRS Revenue Code. Established in 2002, the foundation aims to empower groups committed to positive change, fostering respect for life and the environment. Their vision emphasizes collaboration for a better future, encouraging applicants to embody these values in their initiatives. With a focus on impactful projects, this grant is an opportunity for organizations striving to make a critical difference in our world.</t>
  </si>
  <si>
    <t>https://www.instrumentl.com/grants/dudley-t-dougherty-foundation-grant</t>
  </si>
  <si>
    <t>Meets 4/5 minimum requirements (nonprofits, not a contest, Africa focus, relates to e-waste/recycling via environment themes). Strong environmental fit for e-waste/circular economy and community services for school distribution, but lacks explicit education/youth focus requiring adaptation.</t>
  </si>
  <si>
    <t>Frame application around environmental conservation through e-waste refurbishment and community services by distributing refurbished IT to rural African schools, aligning with foundation's values of positive change, respect for environment, and collaboration for underserved communities.</t>
  </si>
  <si>
    <t>FAWCO Foundation: Development Grants</t>
  </si>
  <si>
    <t>FAWCO Foundation</t>
  </si>
  <si>
    <t>US $5,000</t>
  </si>
  <si>
    <t>["Environmental Education", "Immigration &amp; Refugee Rights", "Diseases &amp; Conditions"]</t>
  </si>
  <si>
    <t>The FAWCO Foundation Development Grant funds impactful projects that promote sustainability and immediate assistance to communities. With over 50 years of support, FAWCO clubs nominate grassroots organizations lacking sponsorship. Key focus areas include education, human rights, and global issues, aiming to empower disadvantaged women and children through initiatives like literacy programs, vocational training, and cultural understanding. This grant fosters collaboration and ensures that local charities receive much-needed recognition and support on a global scale.</t>
  </si>
  <si>
    <t>https://www.instrumentl.com/grants/fawco-foundation-development-grants</t>
  </si>
  <si>
    <t>Meets all 5 minimum requirements: accepts nonprofits (grassroots orgs), not a competition, focuses on education/children, Africa geographic focus, relates to environmental education/sustainability via e-waste/circular economy and education equipment. Strong fit for new org via club nominations, with plausible adaptation to IT refurbishing for schools.</t>
  </si>
  <si>
    <t>Partner with a FAWCO club to nominate our project for funding to refurbish and distribute IT equipment to Kenyan schools, framing it as environmental education (e-waste management, circular economy) and digital literacy for underserved children to close the digital divide.</t>
  </si>
  <si>
    <t>["Environmental Education"]</t>
  </si>
  <si>
    <t>L'Aiglon Foundation: Special Interest Grants</t>
  </si>
  <si>
    <t>L'Aiglon Foundation</t>
  </si>
  <si>
    <t>US $500 - US $7,500</t>
  </si>
  <si>
    <t>["Education", "Environment", "Art &amp; Culture"]</t>
  </si>
  <si>
    <t>L'Aiglon Foundation, established in 1982, focuses on supporting projects in education, environment, and the creative arts. The foundation aims to maximize its charitable impact by providing grants to public charities without geographical restrictions. Grant recipients should demonstrate clear objectives and measurable results. However, funding is not available for individuals, start-up costs, debt reduction, or organizations outside the foundation's areas of focus. This approach ensures that support is directed towards impactful initiatives.</t>
  </si>
  <si>
    <t>https://www.instrumentl.com/grants/l-aiglon-foundation-special-interest-grants</t>
  </si>
  <si>
    <t>Strong alignment with Education (digital literacy/tech in schools) and Environment (e-waste refurbishing) themes, Africa focus, accepts nonprofits; all 5 min requirements met; new org viable if project-focused despite no start-up costs.</t>
  </si>
  <si>
    <t>Submit proposal for grant to fund refurbishment of 500 laptops from e-waste, distribution to 10 rural Kenyan schools, with metrics on # devices deployed, students trained in digital literacy, and e-waste diverted; track outcomes via pre/post surveys on tech access.</t>
  </si>
  <si>
    <t>Lemelson Foundation Grant</t>
  </si>
  <si>
    <t>The Lemelson Foundation</t>
  </si>
  <si>
    <t>["Entrepreneurship", "STEM / STEAM Education"]</t>
  </si>
  <si>
    <t>The Lemelson Foundation Grant supports initiatives in invention education and entrepreneurship, aiming to empower young inventors and foster innovation. With over $300 million provided since its inception, the Foundation focuses on strengthening ecosystems for invention in the U.S. and developing countries. Organizations interested in aligning with their mission are encouraged to take an eligibility quiz and submit inquiries through their contact form. This commitment is crucial for driving impactful solutions to global challenges.</t>
  </si>
  <si>
    <t>https://www.instrumentl.com/grants/lemelson-foundation-grant-1</t>
  </si>
  <si>
    <t>Meets all 5 minimum requirements: accepts nonprofits, not a contest, focuses on youth/education via invention/STEM, targets Africa, relates to STEM education. Strong alignment with STEM/STEAM in Africa, but requires adaptation to frame IT provision as enabling invention ecosystems rather than direct hardware funding.</t>
  </si>
  <si>
    <t>Complete eligibility quiz and submit inquiry via contact form, proposing a program that uses refurbished IT equipment to establish computer labs in Kenyan schools for invention education workshops, fostering young inventors through hands-on STEM projects and entrepreneurship training.</t>
  </si>
  <si>
    <t>["STEM / STEAM Education", "Entrepreneurship"]</t>
  </si>
  <si>
    <t>Roche Corporate Donations and Philanthropy (CDP)</t>
  </si>
  <si>
    <t>La Roche, Inc.</t>
  </si>
  <si>
    <t>["Environmental Education", "Disaster Relief / Humanitarian Aid", "Human &amp; Social Services"]</t>
  </si>
  <si>
    <t>Roche Corporate Donations and Philanthropy (CDP) focuses on impactful projects that foster sustainable development, engage employees, and leverage Roche's expertise. Their philanthropic efforts prioritize humanitarian, educational, environmental, and cultural initiatives, aiming to build stronger communities and support innovative projects. Eligibility is limited to local organizations, while ineligible projects include those with political or religious ties. The foundation strives to create a positive societal impact through collaboration and strategic partnerships.</t>
  </si>
  <si>
    <t>https://www.instrumentl.com/grants/roche-corporate-donations-and-philanthropy-cdp</t>
  </si>
  <si>
    <t>Meets 4/5 min requirements (nonprofits, not competition, education focus, Africa geo, relates via e-waste/recycling under Environmental Education). Plausible via environmental angle on e-waste/circular economy tied to school tech access, but not direct IT/digital literacy match; new org may fit 'local organizations'.</t>
  </si>
  <si>
    <t>Frame project as Environmental Education initiative: partner with Roche for employee volunteering in refurbishing e-waste into school computers, fund distribution to Kenyan rural schools to teach digital literacy and sustainability, leveraging circular economy for positive societal impact.</t>
  </si>
  <si>
    <t>["Environmental Education", "Human &amp; Social Services"]</t>
  </si>
  <si>
    <t>Peter J. King Family Foundation Grant</t>
  </si>
  <si>
    <t>Peter J. King Family Foundation</t>
  </si>
  <si>
    <t>["Children\u2019s Health &amp; Pediatrics", "Early Childhood Development", "Education - Preschool / Early Learning"]</t>
  </si>
  <si>
    <t>The Peter J. King Family Foundation Grant supports organizations dedicated to enhancing children's health, education, and welfare, particularly in economically disadvantaged areas. Priority is given to initiatives in the Saint Paul, Minnesota area, followed by the Twin Cities metro region and Africa. Grants are evaluated based on long-term sustainability and the number of beneficiaries, with a clear emphasis on impactful contributions rather than program funding gifts.</t>
  </si>
  <si>
    <t>https://www.instrumentl.com/grants/peter-j-king-family-foundation-grant</t>
  </si>
  <si>
    <t>Meets 4/5 min requirements (nonprofits, not a contest, children/education focus, Africa included). Good match for education in disadvantaged African areas, but early childhood/preschool themes require adaptation from general school digital literacy; Africa is lower priority after MN focus; plausible for new org as no strict eligibility.</t>
  </si>
  <si>
    <t>Frame application as providing refurbished laptops/tablets to early childhood centers in rural Kenya for digital literacy and tech education, emphasizing long-term sustainability via e-waste repurposing, impact on large numbers of underserved children, and teacher training for preschool tech integration.</t>
  </si>
  <si>
    <t>["Education - Preschool / Early Learning", "Children\u2019s Health &amp; Pediatrics", "Africa"]</t>
  </si>
  <si>
    <t>Sachs Family Foundation Program Related Investments (PRIs)</t>
  </si>
  <si>
    <t>Erich &amp; Hannah Sachs Foundation</t>
  </si>
  <si>
    <t>Unspecified amount in in-kind support</t>
  </si>
  <si>
    <t>["Poverty Alleviation &amp; Services", "Economic Services &amp; Development", "Equitable &amp; Affordable Housing"]</t>
  </si>
  <si>
    <t>The Sachs Family Foundation offers Program Related Investments (PRIs) to support charitable organizations that enhance the quality of life for disadvantaged individuals. The foundation prioritizes self-sustaining initiatives, focusing on economic and educational opportunities, particularly in low-income communities. Proposals are accepted year-round, with a quick review process typically within 30 days. Additionally, the Foundation funds grants for education, health, and housing, aiming to foster self-supporting projects that can make a significant impact.</t>
  </si>
  <si>
    <t>https://www.instrumentl.com/grants/sachs-family-foundation-grant</t>
  </si>
  <si>
    <t>Meets 4/5 min requirements (nonprofits, not competition, education focus, Africa geo). Strong fit for educational opportunities in low-income African communities via self-sustaining refurb/tech distribution, though not explicitly tech/digital.</t>
  </si>
  <si>
    <t>Submit PRI proposal for funding a self-sustaining refurbishing hub in Kenya: invest in equipment/tools for e-waste processing, partner with local schools for distribution, generate revenue via corporate recycling contracts to repay investment while providing devices/digital literacy to underserved students.</t>
  </si>
  <si>
    <t>["Poverty Alleviation &amp; Services", "Economic Services &amp; Development"]</t>
  </si>
  <si>
    <t>SFF: Mission-Aligned Grantmaking - Seed Grants</t>
  </si>
  <si>
    <t>Skees Family Foundation</t>
  </si>
  <si>
    <t>US $2,500 - US $7,500</t>
  </si>
  <si>
    <t>["Workforce Preparation &amp; Job Readiness", "Economic Services &amp; Development", "Job Creation"]</t>
  </si>
  <si>
    <t>The Skees Family Foundation offers mission-aligned Seed Grants to nonprofits focused on job creation and readiness, primarily outside the U.S. These grants, beginning at $2,500 and increasing over three years, aim to support organizations with annual budgets of $250,000 or less. By prioritizing international efforts, the foundation seeks to maximize the impact of its limited resources, fostering growth in community-based organizations dedicated to alleviating poverty and promoting economic development globally.</t>
  </si>
  <si>
    <t>https://www.instrumentl.com/grants/sff-mission-aligned-grantmaking-seed-grants</t>
  </si>
  <si>
    <t>Meets 3/5 minimum requirements (accepts nonprofits, not a contest, Africa focus). Tangential fit via digital literacy for youth leading to job readiness, suitable for new small-budget org, but lacks direct education/tech/children emphasis.</t>
  </si>
  <si>
    <t>Apply by framing refurbished IT distribution to Kenyan schools as foundational workforce preparation, building digital skills for economic development; request $2,500 seed for initial refurbishment and school computer labs.</t>
  </si>
  <si>
    <t>["Workforce Preparation &amp; Job Readiness", "Economic Services &amp; Development"]</t>
  </si>
  <si>
    <t>Tingari-Silverton Foundation Grant</t>
  </si>
  <si>
    <t>Tingari-Silverton Foundation</t>
  </si>
  <si>
    <t>["Human &amp; Social Services", "Economic Services &amp; Development", "Literacy"]</t>
  </si>
  <si>
    <t>The Tingari-Silverton Foundation Grant supports transformational initiatives that align with the United Nations Sustainable Development Goals. Targeted towards Australia-based NGOs and select international organizations, the foundation seeks projects that yield significant social impact. Organizations must demonstrate innovative approaches and measurable outcomes. Notably, grants are not available for individuals or for-profit entities. This opportunity is ideal for those ready to revolutionize their communities through impactful solutions.</t>
  </si>
  <si>
    <t>https://www.instrumentl.com/grants/tingari-silverton-foundation-grant</t>
  </si>
  <si>
    <t>Meets 5/5 minimum requirements: accepts nonprofits/international orgs, not a contest, literacy theme aligns with education/schools/children, Africa focus, relates to digital literacy and e-waste/circular economy via UN SDGs. Strong fit for innovative tech education in Africa despite new org status.</t>
  </si>
  <si>
    <t>Frame project as SDG4 (quality education/digital literacy) and SDG12 (sustainable consumption via e-waste refurbishing), propose pilot distributing refurbished IT to Kenyan schools with measurable outcomes like # devices deployed and literacy gains; highlight innovation in circular economy for underserved areas.</t>
  </si>
  <si>
    <t>["Literacy", "Human &amp; Social Services", "Economic Services &amp; Development"]</t>
  </si>
  <si>
    <t>Global Learning Challenge</t>
  </si>
  <si>
    <t>MIT Solve</t>
  </si>
  <si>
    <t>US $10,000 - US $150,000</t>
  </si>
  <si>
    <t>["Education - K through 12", "Learning Disabilities", "Technology Access &amp; Digital Literacy"]</t>
  </si>
  <si>
    <t>The Global Learning Challenge by MIT Solve seeks innovative solutions leveraging technology to bridge educational equity gaps, particularly for communities affected by poverty and displacement. Emphasizing inclusive design, the challenge aims to empower learners with disabilities and equip individuals with essential skills for a rapidly changing world. Special focus is placed on addressing racial disparities in education exacerbated by the pandemic, inviting innovators to apply and contribute to a more equitable future.</t>
  </si>
  <si>
    <t>https://www.instrumentl.com/grants/global-learning-challenge</t>
  </si>
  <si>
    <t>Meets 4/5 min requirements (accepts nonprofits, education focus, Africa geo, digital literacy/tech access). Strong thematic alignment with tech access/digital literacy and K-12 education in Africa, despite being a challenge. Plausible for new org as innovative solution; competitive but accessible path to funding/visibility for equipment distribution.</t>
  </si>
  <si>
    <t>Submit application showcasing our e-waste refurbishing model as an innovative tech solution for digital literacy and access in Kenyan schools, targeting underserved children to bridge equity gaps; winners receive prizes, mentorship, and scaling support for distribution.</t>
  </si>
  <si>
    <t>["Education - K through 12", "Technology Access &amp; Digital Literacy"]</t>
  </si>
  <si>
    <t>The Fairways Foundation Grant</t>
  </si>
  <si>
    <t>The FairWays Foundation</t>
  </si>
  <si>
    <t>US $1,000 - US $25,000</t>
  </si>
  <si>
    <t>["Environmental Conservation", "Environmental Stewardship", "Environmental Education"]</t>
  </si>
  <si>
    <t>The FairWays Foundation Grant focuses on funding projects that promote environmental stewardship and conservation efforts. This private foundation supports initiatives that aim to protect natural resources and encourage education within the green industry. By investing in both local and global projects, the foundation emphasizes long-term change through grassroots involvement. Successful applicants must demonstrate a clear strategy and measurable goals, ensuring their projects contribute positively to their communities and the environment.</t>
  </si>
  <si>
    <t>https://www.instrumentl.com/grants/the-fairways-foundation-grant</t>
  </si>
  <si>
    <t>Strong alignment with environmental stewardship via e-waste recycling and circular economy; environmental education through tech access in schools; perfect geographic fit for Africa/Kenya. Meets 4/5 min requirements (1,2,4,5; 3 via education focus). Realistic for new org with clear strategy.</t>
  </si>
  <si>
    <t>Pitch project as environmental conservation effort: collect/refurbish e-waste (quantify tons diverted from landfills), distribute refurbished devices to Kenyan schools (measurable: # devices, # students trained in digital literacy/sustainability), emphasize long-term community impact and grassroots involvement.</t>
  </si>
  <si>
    <t>Rotary Foundation- District Grants</t>
  </si>
  <si>
    <t>The Rotary Foundation Of Rotary International</t>
  </si>
  <si>
    <t>["Disaster Relief / Humanitarian Aid", "Academic Scholarship Programs", "Community Services"]</t>
  </si>
  <si>
    <t>The Rotary Foundation's District Grants support small-scale, short-term projects that benefit local and international communities. These grants can fund diverse initiatives, including humanitarian projects, scholarships, youth programs, and vocational training. Districts may allocate up to 50% of their District Designated Fund annually for these grants, providing flexibility for clubs to implement impactful service projects. This funding is given as a lump sum, allowing districts to distribute it among their clubs.</t>
  </si>
  <si>
    <t>https://www.instrumentl.com/grants/walnut-creek-rotary-club-district-grants</t>
  </si>
  <si>
    <t>Meets 4/5 min requirements (accepts nonprofits via Rotary club partnerships, not a competition, focuses on youth/education/vocational training, Africa geographic focus, relates to technology education/digital literacy via community services/youth programs). Flexible small-scale funding suitable for new org with Rotary collaboration; plausible for equipment distribution as humanitarian/community project.</t>
  </si>
  <si>
    <t>Partner with a Rotary club/district focused on Africa (e.g., District 9212 in Kenya) to propose a short-term project: collect/refurbish 100 laptops, distribute to rural Kenyan schools, train teachers on digital literacy. Use lump-sum grant for refurbishing costs, shipping, and setup of computer labs.</t>
  </si>
  <si>
    <t>["Community Services", "Disaster Relief / Humanitarian Aid"]</t>
  </si>
  <si>
    <t>Tutator Forward Grant</t>
  </si>
  <si>
    <t>Fondation Tutator</t>
  </si>
  <si>
    <t>US $75,000 - US $1,000,000 in in-kind support</t>
  </si>
  <si>
    <t>["Social Justice / Human Rights", "Environment", "Human &amp; Social Services"]</t>
  </si>
  <si>
    <t>The Tutator Forward Grant is a unique initiative by Fondation Tutator that provides customized software solutions to organizations focused on social and environmental impact. Unlike traditional funding, this grant offers tailored software development to enhance operational efficiency and beneficiary management for NGOs and social enterprises. Projects can range from legal aid platforms to nutrition monitoring systems, ensuring scalability and measurable outcomes. Grantees are expected to actively participate in development, with projects typically valued between $75,000 and $1,000,000.</t>
  </si>
  <si>
    <t>https://www.instrumentl.com/grants/tutator-forward</t>
  </si>
  <si>
    <t>Strong match for Africa-focused nonprofits in environment (e-waste/circular economy) and human services; provides operational software to enhance IT equipment management and distribution, though not direct hardware funding.</t>
  </si>
  <si>
    <t>Request customized software for inventory tracking of refurbished IT devices, distribution logistics to Kenyan schools, beneficiary management for children, and impact monitoring on digital literacy—improving efficiency for a new org without buying hardware.</t>
  </si>
  <si>
    <t>Leave Your Mark Grant</t>
  </si>
  <si>
    <t>International Medical Group Inc.</t>
  </si>
  <si>
    <t>US $1,000 - US $3,500</t>
  </si>
  <si>
    <t>The Leave Your Mark Grant, offered by International Medical Group (IMG), aims to support global outreach efforts by providing funding to 5 winners: 2 organizations will each receive $3,500, while 3 individuals will get $1,000 each. Open to participants worldwide, applicants must be at least 18 years old. This initiative encourages original essays and videos, promoting social good and community service. Join IMG in making a meaningful impact through your projects!</t>
  </si>
  <si>
    <t>https://www.instrumentl.com/grants/leave-your-mark-grant</t>
  </si>
  <si>
    <t>Meets minimum requirements: accepts nonprofits (1), Africa geographic focus (4), relates to digital literacy/digital divide/refurbished tech (5). Fails competition rule (2) and specific education focus (3), but accessible essay/video process suits new org; plausible but competitive with small awards.</t>
  </si>
  <si>
    <t>Submit a compelling original essay and video detailing the organization's mission to source, refurbish, and distribute IT equipment to schools in underserved Kenyan/African areas, emphasizing impact on digital literacy and closing the digital divide; use $3,500 to purchase refurbishing tools or ship devices if selected as one of 2 organizational winners.</t>
  </si>
  <si>
    <t>["digital literacy", "technology education", "e-waste/recycling", "refurbished tech", "digital divide", "schools", "education equipment/supplies"]</t>
  </si>
  <si>
    <t>100X Impact Accelerator Grant</t>
  </si>
  <si>
    <t>London School of Economics</t>
  </si>
  <si>
    <t>["Environment", "Climate Change Resilience &amp; Equity", "Sustainability"]</t>
  </si>
  <si>
    <t>The 100X Impact Accelerator Grant, based at the London School of Economics, seeks to empower social ventures aiming for transformative change. With a focus on innovation in crucial areas like climate, democracy, and well-being, this program supports visionary entrepreneurs with catalytic funding and mentorship. The 12-week hybrid accelerator fosters collaboration among like-minded social entrepreneurs, providing essential resources to scale impactful solutions. Eligible ventures must demonstrate a mission-driven approach and tangible impact, aiming to create scalable, sustainable solutions for global challenges.</t>
  </si>
  <si>
    <t>https://www.instrumentl.com/grants/100x-impact-accelerator-z667qob</t>
  </si>
  <si>
    <t>Meets 4/5 minimum requirements (accepts social ventures likely including nonprofits, not a contest, Africa focus, relates to e-waste/recycling and sustainability). Good match with adaptation: frame e-waste refurbishing as sustainability/circular economy initiative supporting digital access in Africa, though lacks direct education focus.</t>
  </si>
  <si>
    <t>Position the organization as a social venture innovating in sustainability through e-waste refurbishment and circular economy to bridge digital divide in African schools. Apply for the 12-week accelerator to secure catalytic funding, mentorship, and networks to scale sourcing, refurbishing, and distribution of IT equipment to underserved Kenyan schools.</t>
  </si>
  <si>
    <t>["Environment", "Sustainability"]</t>
  </si>
  <si>
    <t>Global D-Prize Competition</t>
  </si>
  <si>
    <t>D-Prize</t>
  </si>
  <si>
    <t>Up to US $20,000</t>
  </si>
  <si>
    <t>["Teen Parenthood", "Agricultural Crops", "Soil Science"]</t>
  </si>
  <si>
    <t>The Global D-Prize Competition aims to alleviate extreme poverty by seeding social impact organizations in low-and-middle income countries. With grants of up to $20,000, it supports entrepreneurs launching new ventures. Applicants are encouraged to distribute existing, evidence-based poverty interventions. The competition targets areas such as health, education, and livelihoods, fostering innovative solutions. D-Prize seeks to make high-impact products universally accessible and believes that social enterprises can effectively address pressing needs in communities.</t>
  </si>
  <si>
    <t>https://www.instrumentl.com/grants/global-d-prize-competition</t>
  </si>
  <si>
    <t>Meets 4/5 minimum requirements (#1 accepts nonprofits/social impact orgs, #3 education focus, #4 Africa, #5 relates to digital literacy/technology education/digital divide via innovative poverty interventions); perfect seed funding for new org launching education/tech venture despite competition format.</t>
  </si>
  <si>
    <t>Enter the competition with a proposal detailing the launch of our social impact venture to collect, refurbish, and distribute IT equipment to Kenyan schools for digital literacy; allocate up to $20,000 for sourcing devices, refurbishment setup, shipping/logistics, and pilot distribution to underserved rural schools.</t>
  </si>
  <si>
    <t>["education", "Africa", "digital literacy", "technology education", "digital divide"]</t>
  </si>
  <si>
    <t>Big G Charitable Foundation Grant</t>
  </si>
  <si>
    <t>Big G Charitable Foundation</t>
  </si>
  <si>
    <t>["Human &amp; Social Services", "Diseases &amp; Conditions", "Sustainability"]</t>
  </si>
  <si>
    <t>The Big G Charitable Foundation, founded in 2009 by Mike Galesi, is dedicated to supporting environmental conservation and emergency relief efforts. Inspired by his father, John (Big G), Mike's commitment to helping others drives the foundation's mission to protect the defenseless and promote sustainability. Through grants, the foundation aids qualified non-profit organizations focused on these critical areas, ensuring that both our planet and those in crisis receive the support they need.</t>
  </si>
  <si>
    <t>https://www.instrumentl.com/grants/big-g-charitable-foundation-grant</t>
  </si>
  <si>
    <t>Meets 4/5 min requirements (nonprofits yes, not competition yes, Africa yes, sustainability relates to e-waste/recycling/refurbished tech; lacks explicit children/education focus). Tangential via sustainability (e-waste, circular economy) and human/social services (aid to underserved), with plausible adaptation for new org.</t>
  </si>
  <si>
    <t>Frame application as sustainability initiative managing e-waste through collection, refurbishment, and repurposing of IT equipment for circular economy in Africa; highlight distribution to Kenyan schools as human &amp; social services supporting vulnerable children, reducing digital exclusion while promoting environmental conservation.</t>
  </si>
  <si>
    <t>["Sustainability", "Human &amp; Social Services"]</t>
  </si>
  <si>
    <t>MacFarlane Foundation Grantmaking</t>
  </si>
  <si>
    <t>Roger I. &amp; Ruth B. MacFarlane Foundation</t>
  </si>
  <si>
    <t>US $10,000 - US $250,000</t>
  </si>
  <si>
    <t>The MacFarlane Foundation, established in 2009, is dedicated to enhancing the quality of life for individuals and communities through strategic grantmaking. It supports U.S. public charities focused on education, economic empowerment, climate change, health, and women's well-being. Grants range from $10,000 to $250,000, with a commitment to fostering growth in organizations. The foundation invites proposals annually, ensuring impactful contributions to various causes both domestically and internationally.</t>
  </si>
  <si>
    <t>https://www.instrumentl.com/grants/macfarlane-foundation-grants</t>
  </si>
  <si>
    <t>Strong match: Supports education and climate initiatives internationally in Africa; aligns with digital literacy/STEM under education and e-waste/circular economy under climate; open to growth-stage orgs with annual proposals; U.S. charity requirement may need verification but nonprofits accepted.</t>
  </si>
  <si>
    <t>Submit annual proposal framing project as education (digital literacy, tech access for school children) and climate action (e-waste refurbishment); request $50k-$100k for refurbishing 500+ devices, distribution to Kenyan schools, and training programs.</t>
  </si>
  <si>
    <t>["digital literacy", "technology education", "e-waste/recycling", "refurbished tech", "digital divide", "STEM education", "schools", "climate action/green technology"]</t>
  </si>
  <si>
    <t>Candid</t>
  </si>
  <si>
    <t>Candid | Foundation Center and GuideStar are now Candid</t>
  </si>
  <si>
    <t>International Aid Transparency Initiative - iatistandard.org</t>
  </si>
  <si>
    <t>https://www.bonterratech.com/product/nonprofits</t>
  </si>
  <si>
    <t>Website</t>
  </si>
  <si>
    <t>Used In Automation</t>
  </si>
  <si>
    <t>Paid</t>
  </si>
  <si>
    <t>https://www.fundsforngos.org/?utm_source=chatgpt.com</t>
  </si>
  <si>
    <t>Y</t>
  </si>
  <si>
    <t>Free</t>
  </si>
  <si>
    <t>Subscribed to The Newsletter For Grant Info</t>
  </si>
  <si>
    <t>https://www.instrumentl.com/</t>
  </si>
  <si>
    <t>N</t>
  </si>
  <si>
    <t>Bring your existing grants into Instrumentl
Your trial will start during your onboarding call. Import existing grants now so that once you get full access, you'll see how easy grant management can be!</t>
  </si>
  <si>
    <t>https://candid.org/?_gl=1*exxidh*_gcl_au*MTI2NzM5OTYyMi4xNzU2ODc5OTk1*_ga*NTY5NDgwNzMwLjE3NTY4Nzk5OTc.*_ga_5W8PXYYGBX*czE3NTY4Nzk5OTYkbzEkZzAkdDE3NTY4Nzk5OTYkajYwJGwwJGgw</t>
  </si>
  <si>
    <t xml:space="preserve">Visited. </t>
  </si>
  <si>
    <t>https://www.grants.gov/</t>
  </si>
  <si>
    <t>https://eufundingportal.eu/#gsc.tab=0</t>
  </si>
  <si>
    <t>https://commission.europa.eu/funding-tenders/how-apply/eligibility-who-can-get-funding_en</t>
  </si>
  <si>
    <t>https://grantsdatabase.org/</t>
  </si>
  <si>
    <t>https://www.eurodiaconia.org/?s=grants&amp;e_search_props=8bf8d03-76600</t>
  </si>
  <si>
    <t>https://grantstation.com/</t>
  </si>
  <si>
    <t>https://findgrant.ca/ProgramSearch</t>
  </si>
  <si>
    <t>https://myaccount.charityexcellence.co.uk/</t>
  </si>
  <si>
    <t>Organization NameDetails</t>
  </si>
  <si>
    <t>Focus Area</t>
  </si>
  <si>
    <t>Focus</t>
  </si>
  <si>
    <t>Erasmus+</t>
  </si>
  <si>
    <t>Large funding program for youth &amp; education</t>
  </si>
  <si>
    <t>(Opportunities for Youth)</t>
  </si>
  <si>
    <t>€4.47 Billion</t>
  </si>
  <si>
    <t>Europe + partners</t>
  </si>
  <si>
    <t>NGO consortiums eligible</t>
  </si>
  <si>
    <t>Crawford Fund (Australia)</t>
  </si>
  <si>
    <t>Capacity building for scientists &amp; development professionals</t>
  </si>
  <si>
    <t>Home - The Crawford Fund</t>
  </si>
  <si>
    <t>Up to $15,000</t>
  </si>
  <si>
    <t>For food security research and governance</t>
  </si>
  <si>
    <t>For food security</t>
  </si>
  <si>
    <t>ICFJ</t>
  </si>
  <si>
    <t>International journalism fellowship</t>
  </si>
  <si>
    <t>(International Center for Journalists)</t>
  </si>
  <si>
    <t>Immersive learning opportunity</t>
  </si>
  <si>
    <t>For Germanand  North American fellows in Journalism.</t>
  </si>
  <si>
    <t>World Habitat Awards</t>
  </si>
  <si>
    <t>Recognizes innovative housing &amp; community projects</t>
  </si>
  <si>
    <t>Award + recognition</t>
  </si>
  <si>
    <t>nnovative solutions to key Housing Challenges around the world.</t>
  </si>
  <si>
    <t>UNFPA</t>
  </si>
  <si>
    <t>Grant for gender equality &amp; social protection projects</t>
  </si>
  <si>
    <t>(UNFPA Türkiye)</t>
  </si>
  <si>
    <t>Turkey / Global NGOs eligible</t>
  </si>
  <si>
    <t>CSO engagement focus</t>
  </si>
  <si>
    <t>For Civil Society in Turkey</t>
  </si>
  <si>
    <t>Environmental &amp; community safety projects</t>
  </si>
  <si>
    <t>(UNDP)</t>
  </si>
  <si>
    <t>Kyrgyzstan &amp; region</t>
  </si>
  <si>
    <t>Funding for community impact</t>
  </si>
  <si>
    <t>NGOs) operating in target communities, Min-Kush, Mailuu-Suu, and Kyzyl-Zhar,</t>
  </si>
  <si>
    <t>Japan Foundation (Bangkok)</t>
  </si>
  <si>
    <t>Culture &amp; academic collaboration projects</t>
  </si>
  <si>
    <t>(The Japan Foundation, Bangkok)</t>
  </si>
  <si>
    <t>Asia</t>
  </si>
  <si>
    <t>Cultural exchange focus</t>
  </si>
  <si>
    <t>enhance Japanese studies in Thailand.</t>
  </si>
  <si>
    <t>Education Innovation Awards</t>
  </si>
  <si>
    <t>Grants for tech education innovation</t>
  </si>
  <si>
    <t>Up to £50,000</t>
  </si>
  <si>
    <t>Digital learning focus</t>
  </si>
  <si>
    <t>Have reached at least 2,000 learners with their innovation in the past year</t>
  </si>
  <si>
    <t>Al Madad Foundation</t>
  </si>
  <si>
    <t>Supports education access for displaced children</t>
  </si>
  <si>
    <t>(Al Madad Foundation)</t>
  </si>
  <si>
    <t>Up to £100,000</t>
  </si>
  <si>
    <t>Middle East / global NGOs</t>
  </si>
  <si>
    <t>Education &amp; social inclusion</t>
  </si>
  <si>
    <t>Projects to be implemented in the Middle East</t>
  </si>
  <si>
    <t>Royal Company of Merchants of Edinburgh</t>
  </si>
  <si>
    <t>Local community project support</t>
  </si>
  <si>
    <t>Community benefit focus</t>
  </si>
  <si>
    <t xml:space="preserve">projects that benefit communities across Edinburgh and the Lothians. </t>
  </si>
  <si>
    <t>ABOUTAsia</t>
  </si>
  <si>
    <t>Grassroots community-led development</t>
  </si>
  <si>
    <t>Up to $3,000</t>
  </si>
  <si>
    <t>SE Asia</t>
  </si>
  <si>
    <t>Small community grants</t>
  </si>
  <si>
    <t>for Community-led initiatives in Cambodia, Laos, and Vietnam. </t>
  </si>
  <si>
    <t>Civic Innovation Fund</t>
  </si>
  <si>
    <t>Grants for civic engagement &amp; literacy projects</t>
  </si>
  <si>
    <t>(thecivics.eu)</t>
  </si>
  <si>
    <t>Europe</t>
  </si>
  <si>
    <t>Democracy &amp; inclusion focus</t>
  </si>
  <si>
    <t>should be startups in civic education that focus on strengthening democratic competencies that promote participation, cohesion, and resilience.</t>
  </si>
  <si>
    <t>Japan GGP</t>
  </si>
  <si>
    <t>Local community development support</t>
  </si>
  <si>
    <t>(Embassy of Japan in Zambia)</t>
  </si>
  <si>
    <t>Up to ¥10M (~$66k)</t>
  </si>
  <si>
    <t>Zambia</t>
  </si>
  <si>
    <t>Sustainable development</t>
  </si>
  <si>
    <t>Must have at least 2 years of experience in the field of the proposed project. * GGP cannot fund newly-established organisations, pilot projects and initial start-up costs, etc. For Zambia</t>
  </si>
  <si>
    <t>FAO</t>
  </si>
  <si>
    <t>Recognizes food &amp; agriculture innovations</t>
  </si>
  <si>
    <t>(FAOHome)</t>
  </si>
  <si>
    <t>~$10,000</t>
  </si>
  <si>
    <t>Innovation in food systems</t>
  </si>
  <si>
    <t xml:space="preserve">for innovation around food </t>
  </si>
  <si>
    <t>Support for culture &amp; arts professionals</t>
  </si>
  <si>
    <t>(UNESCO)</t>
  </si>
  <si>
    <t>artist and artistic freedom</t>
  </si>
  <si>
    <t>WIPO</t>
  </si>
  <si>
    <t>IP-driven innovation &amp; creative solution awards</t>
  </si>
  <si>
    <t>(WIPO)</t>
  </si>
  <si>
    <t>Starts in early 2026</t>
  </si>
  <si>
    <t>Offers an innovative product or service linked to IP</t>
  </si>
  <si>
    <t>UN Global Pulse</t>
  </si>
  <si>
    <t>Innovation solutions for big data &amp; AI</t>
  </si>
  <si>
    <t>(UN Global Pulse)</t>
  </si>
  <si>
    <t>UN innovation &amp; data focus</t>
  </si>
  <si>
    <t>have been piloted at least once and can provide evidence of positive outcomes</t>
  </si>
  <si>
    <t>CivicHive CivicTech Fellowship Program 2026</t>
  </si>
  <si>
    <t>Technology for Social Good-Innovations that improve access to health, education, justice, and essential public services, particularly for underserved communities.</t>
  </si>
  <si>
    <t>https://grantsdatabase.org/2026/01/26/civichive-civictech-fellowship-program-2026</t>
  </si>
  <si>
    <t>Open: 23 January 2026upto 11/02/2026</t>
  </si>
  <si>
    <t>Innovators</t>
  </si>
  <si>
    <t>Boot camp for civic innovators</t>
  </si>
  <si>
    <t>FICC services</t>
  </si>
  <si>
    <t xml:space="preserve">The program, run by the government of Quebec, offers financial support through quasi-equity financial products, corporate loans, short-term financing, and bank guarantee options. The main industry is Information Technology, Arts, Museum, Aerospace, Defense, and Professional Services. </t>
  </si>
  <si>
    <t>https://ficc.qc.ca/en/ficc-services</t>
  </si>
  <si>
    <t>Quebec</t>
  </si>
  <si>
    <t xml:space="preserve"> NGO, Educational Institution and Researcher</t>
  </si>
  <si>
    <t>For IFCC approved jurisdiction</t>
  </si>
  <si>
    <t>QFUTURES Community Fund</t>
  </si>
  <si>
    <t>The Q-FUTURES Community Fund supports organisations who provide access to engaging digital training and community schemes, in an engagement-led, co-created way that meets specific digital needs.</t>
  </si>
  <si>
    <t>https://tworidingscf.org.uk/fund/q-futures-fund</t>
  </si>
  <si>
    <t>UK: Pocklington, SelbyYork</t>
  </si>
  <si>
    <t>Areas covered limited to UK</t>
  </si>
  <si>
    <t>Scottish Borders Council</t>
  </si>
  <si>
    <t>https://www.scotborders.gov.uk/community-grants-funding</t>
  </si>
  <si>
    <t>For Scottish Borders only</t>
  </si>
  <si>
    <t>Leica LOBA Women Grant</t>
  </si>
  <si>
    <t>Funding for female photographers</t>
  </si>
  <si>
    <t>(leica-camera.com)</t>
  </si>
  <si>
    <t>€10,000 + equipment</t>
  </si>
  <si>
    <t>Arts &amp; storytelling focus</t>
  </si>
  <si>
    <t>For women photographers</t>
  </si>
  <si>
    <t>Critical Ecosystem Partnership Fund</t>
  </si>
  <si>
    <t>Biodiversity &amp; conservation funding</t>
  </si>
  <si>
    <t>(cepf.net)</t>
  </si>
  <si>
    <t>Global hotspots</t>
  </si>
  <si>
    <t>Grants for NGOs protecting biodiversity</t>
  </si>
  <si>
    <t>For goverbnment entities, nd biodiverity hot spots</t>
  </si>
  <si>
    <t>Intercultural learning projects with digital engagement</t>
  </si>
  <si>
    <t>(Erasmus+)</t>
  </si>
  <si>
    <t>Up to €500,000</t>
  </si>
  <si>
    <t>26‑Mar‑2026</t>
  </si>
  <si>
    <t>Digital exchange and youth programs</t>
  </si>
  <si>
    <t xml:space="preserve">For Education institutions dealing with youth programmes </t>
  </si>
  <si>
    <t>Biodiversity &amp; conservation funding for NGOs</t>
  </si>
  <si>
    <t>Grants | CEPF</t>
  </si>
  <si>
    <t>Supports local conservation NGOs</t>
  </si>
  <si>
    <t>for biodiversity</t>
  </si>
  <si>
    <t>Rotary Foundation</t>
  </si>
  <si>
    <t>Supports youth, education &amp; community service</t>
  </si>
  <si>
    <t>(rotary9930.org)</t>
  </si>
  <si>
    <t>Varies by district</t>
  </si>
  <si>
    <t>Flexible local support</t>
  </si>
  <si>
    <t>or Rotarioans and clubs</t>
  </si>
  <si>
    <t>Grants + camera to female photographers</t>
  </si>
  <si>
    <t>Leica's New LOBA Women Grant Supports More Female Photographers | PetaPixel</t>
  </si>
  <si>
    <t>Supports documentary photography projects</t>
  </si>
  <si>
    <t>female photographers</t>
  </si>
  <si>
    <t>Black Impact Web Grant: Building Digital Power for Black-Led Organizations</t>
  </si>
  <si>
    <t>Bombshell Impact Design Agency</t>
  </si>
  <si>
    <t>https://www2.fundsforngos.org/community-development/black-impact-web-grant-building-digital-power-for-black-led-organizations/</t>
  </si>
  <si>
    <t>$5,000 (website package)</t>
  </si>
  <si>
    <t>Not specified (focus on Black-led organizations globally)</t>
  </si>
  <si>
    <t>Black-led social impact organization</t>
  </si>
  <si>
    <t>Open Call: Knowledge Transfer Grants to Strengthen Sustainable Food Systems</t>
  </si>
  <si>
    <t>STREAMING (Horizon Europe-funded)</t>
  </si>
  <si>
    <t>https://www2.fundsforngos.org/education/open-call-knowledge-transfer-grants-to-strengthen-sustainable-food-systems/</t>
  </si>
  <si>
    <t>Africa, Europe</t>
  </si>
  <si>
    <t>funding digital courses for Sustainable Food Systems</t>
  </si>
  <si>
    <t>Call for EOIs: Complementary Pathways for Refugees (Ethiopia)</t>
  </si>
  <si>
    <t>UNHCR Ethiopia</t>
  </si>
  <si>
    <t>https://www2.fundsforngos.org/community-development/call-for-eois-complementary-pathways-for-refugees-ethiopia/</t>
  </si>
  <si>
    <t>Not specified</t>
  </si>
  <si>
    <t>Ethiopia (Africa)</t>
  </si>
  <si>
    <t>Previous successful experience with refugee populations in ETHIOPIA.</t>
  </si>
  <si>
    <t>Ernest Kleinwort Charitable Trust’s Medium Grant Program (UK)</t>
  </si>
  <si>
    <t>Ernest Kleinwort Charitable Trust (EKCT)</t>
  </si>
  <si>
    <t>https://www2.fundsforngos.org/community-development/ernest-kleinwort-charitable-trusts-medium-grant-program-uk/</t>
  </si>
  <si>
    <t>£10,001–£20,000</t>
  </si>
  <si>
    <t>UK (primarily Sussex)</t>
  </si>
  <si>
    <t>Funds projects in Sussex</t>
  </si>
  <si>
    <t>CFPs: Enhancing Education, Protection, and Social Services for Children in Hiiraan (Somalia)</t>
  </si>
  <si>
    <t>UNICEF Somalia</t>
  </si>
  <si>
    <t>https://www2.fundsforngos.org/children/cfps-enhancing-education-protection-and-social-services-for-children-in-hiiraan-somalia/</t>
  </si>
  <si>
    <t>Somalia (Hiiraan, Africa)</t>
  </si>
  <si>
    <t>Somalia</t>
  </si>
  <si>
    <t>Enhancing Education, Protection, and Social Services for Children in Hiiraan (Somalia)</t>
  </si>
  <si>
    <t>Funding available to improve Child Outcomes in Woqooyi Galbeed (Somalia)</t>
  </si>
  <si>
    <t>https://www2.fundsforngos.org/children/funding-available-to-improve-child-outcomes-in-woqooyi-galbeed-somalia/</t>
  </si>
  <si>
    <t>Somalia (Woqooyi Galbeed, Africa)</t>
  </si>
  <si>
    <t> to improve Child Outcomes in Woqooyi Galbeed (Somalia)</t>
  </si>
  <si>
    <t>Call for Applications: Improving Child Outcomes in Gedo, Somalia</t>
  </si>
  <si>
    <t>https://www2.fundsforngos.org/children/call-for-applications-improving-child-outcomes-in-gedo-somalia/</t>
  </si>
  <si>
    <t>Somalia (Gedo, Africa)</t>
  </si>
  <si>
    <t>Improving Child Outcomes in Gedo, Somalia</t>
  </si>
  <si>
    <t>Apply Now: Education for All South Sudan Programme</t>
  </si>
  <si>
    <t>Education for All South Sudan (EFASS) Programme</t>
  </si>
  <si>
    <t>https://www2.fundsforngos.org/children/apply-now-education-for-all-south-sudan-programme/</t>
  </si>
  <si>
    <t>Over £1,000,000</t>
  </si>
  <si>
    <t>South Sudan (Africa)</t>
  </si>
  <si>
    <t>South Sudan</t>
  </si>
  <si>
    <t>Education for All South Sudan Programme</t>
  </si>
  <si>
    <t>Grants to improve Child Outcomes through Education, Social Protection and Child Protection in Lower Juba, Somalia</t>
  </si>
  <si>
    <t>https://www2.fundsforngos.org/children/grants-to-improve-child-outcomes-through-education-social-protection-and-child-protection-in-lower-juba-somalia/</t>
  </si>
  <si>
    <t>Somalia (Lower Juba, Africa)</t>
  </si>
  <si>
    <t>Child Outcomes through Education, Social Protection and Child Protection in Lower Juba, Somalia</t>
  </si>
  <si>
    <t>Funding available to improve Child Outcomes in Lower Shabelle, Somalia</t>
  </si>
  <si>
    <t>https://www2.fundsforngos.org/children/funding-available-to-improve-child-outcomes-in-lower-shabelle-somalia/</t>
  </si>
  <si>
    <t>Somalia (Lower Shabelle, Africa)</t>
  </si>
  <si>
    <t>improve Child Outcomes in Lower Shabelle, Somalia</t>
  </si>
  <si>
    <t>Call for EOIs: Improve Child Outcomes in Middle Juba (Somalia)</t>
  </si>
  <si>
    <t>https://www2.fundsforngos.org/children/call-for-eois-improve-child-outcomes-in-middle-juba-somalia/</t>
  </si>
  <si>
    <t>Somalia (Middle Juba, Africa)</t>
  </si>
  <si>
    <t>Improve Child Outcomes in Middle Juba (Somalia)</t>
  </si>
  <si>
    <t>Education for All South Sudan (EFASS)</t>
  </si>
  <si>
    <t>RFAs: Education Protection and Social Support for Children in Mudug (Somalia)</t>
  </si>
  <si>
    <t>https://www2.fundsforngos.org/children/rfas-education-protection-and-social-support-for-children-in-mudug-somalia/</t>
  </si>
  <si>
    <t>Mudug, Somalia</t>
  </si>
  <si>
    <t>Call for EOIs: Advancing Education, Protection, and Social Services in Nugaal (Somalia)</t>
  </si>
  <si>
    <t>https://www2.fundsforngos.org/children/call-for-eois-advancing-education-protection-and-social-services-in-nugaal-somalia/</t>
  </si>
  <si>
    <t>Nugaal, Somalia</t>
  </si>
  <si>
    <t>Call for EOIs: Enhancing Education and Protection for Children in Awdal, Somalia</t>
  </si>
  <si>
    <t>https://www2.fundsforngos.org/children/call-for-eois-enhancing-education-and-protection-for-children-in-awdal-somalia/</t>
  </si>
  <si>
    <t>Awdal, Somalia</t>
  </si>
  <si>
    <t>Request for Applications: Improving Outcomes for Children in Bari (Somalia)</t>
  </si>
  <si>
    <t>https://www2.fundsforngos.org/children/request-for-applications-improving-outcomes-for-children-in-bari-somalia/</t>
  </si>
  <si>
    <t>Bari, Somalia</t>
  </si>
  <si>
    <t>Funding available for improving Child Outcomes in Galgaduud Region, Somalia</t>
  </si>
  <si>
    <t>https://www2.fundsforngos.org/children/funding-available-for-improving-child-outcomes-in-galgaduud-region-somalia/</t>
  </si>
  <si>
    <t>Galgaduud Region, Somalia</t>
  </si>
  <si>
    <t>Call for EOIs: Improving Child Outcomes through Education and Protection in Middle Shabelle (Somalia)</t>
  </si>
  <si>
    <t>https://www2.fundsforngos.org/children/call-for-eois-improving-child-outcomes-through-education-and-protection-in-middle-shabelle-somalia/</t>
  </si>
  <si>
    <t>Middle Shabelle, Somalia</t>
  </si>
  <si>
    <t>Call for Funding: Working Groups Programme (South Africa)</t>
  </si>
  <si>
    <t>NIHSS</t>
  </si>
  <si>
    <t>https://www2.fundsforngos.org/community-development/call-for-funding-working-groups-programme-south-africa/</t>
  </si>
  <si>
    <t>Up to R100,000</t>
  </si>
  <si>
    <t>South Africa</t>
  </si>
  <si>
    <t>for South Africa Academics</t>
  </si>
  <si>
    <t>Summer Study of the U.S. Institutes for Secondary Educators</t>
  </si>
  <si>
    <t>U.S. Embassy in Madagascar and The Comoros</t>
  </si>
  <si>
    <t>https://www2.fundsforngos.org/education/summer-study-of-the-u-s-institutes-for-secondary-educators/</t>
  </si>
  <si>
    <t>Madagascar, The Comoros</t>
  </si>
  <si>
    <t xml:space="preserve">Summer 2026 Study boot camp for Madagascar and Comoros </t>
  </si>
  <si>
    <t>Call for Applications: Onassis Foundation Scholarships (Greece)</t>
  </si>
  <si>
    <t>Onassis Foundation</t>
  </si>
  <si>
    <t>https://www2.fundsforngos.org/education/call-for-applications-onassis-foundation-scholarships-greece/</t>
  </si>
  <si>
    <t>Greece, Global</t>
  </si>
  <si>
    <t>study scholarships</t>
  </si>
  <si>
    <t>3rd Open Call of i4A Access Grant Program</t>
  </si>
  <si>
    <t>https://www2.fundsforngos.org/education/3rd-open-call-of-i4a-access-grant-program/</t>
  </si>
  <si>
    <t>Low- and middle-income countries</t>
  </si>
  <si>
    <t>or researchers</t>
  </si>
  <si>
    <t>Open Call for Advancing Adolescent Girls’ Empowerment in Fragile and Conflict Settings (US)</t>
  </si>
  <si>
    <t>https://www2.fundsforngos.org/children/open-call-for-advancing-adolescent-girls-empowerment-in-fragile-and-conflict-settings-us/</t>
  </si>
  <si>
    <t>Fragile and conflict-affected states</t>
  </si>
  <si>
    <t>Advancing Adolescent Girls’ Empowerment in Fragile and Conflict Settings (US)</t>
  </si>
  <si>
    <t>Funding available for Strengthening Civil Society Organizations in Burundi</t>
  </si>
  <si>
    <t>European Commission</t>
  </si>
  <si>
    <t>https://www2.fundsforngos.org/economic-development/funding-available-for-strengthening-civil-society-organizations-in-burundi/</t>
  </si>
  <si>
    <t>Burundi</t>
  </si>
  <si>
    <t>Strengthening Civil Society Organizations in Burundi</t>
  </si>
  <si>
    <t>Project for Community-Based Support for School Re-Opening in Central, Eastern and Southern States (Sudan)</t>
  </si>
  <si>
    <t>UNICEF Sudan</t>
  </si>
  <si>
    <t>https://www2.fundsforngos.org/children/project-for-community-based-support-for-school-re-opening-in-central-eastern-and-southern-states-sudan/</t>
  </si>
  <si>
    <t>Sudan</t>
  </si>
  <si>
    <t>Community-Based Support for School Re-Opening in Central, Eastern and Southern States (Sudan)</t>
  </si>
  <si>
    <t>Open Call: Implement School Feeding and Agricultural Support in Aweil East (South Sudan)</t>
  </si>
  <si>
    <t>World Food Programme (WFP)</t>
  </si>
  <si>
    <t>https://www2.fundsforngos.org/community-development/open-call-implement-school-feeding-and-agricultural-support-in-aweil-east-south-sudan/</t>
  </si>
  <si>
    <t>Implement School Feeding and Agricultural Support in Aweil East (South Sudan)</t>
  </si>
  <si>
    <t>Apply for Leading Minds Fellowship on Climate Education</t>
  </si>
  <si>
    <t>https://www2.fundsforngos.org/community-development/apply-for-leading-minds-fellowship-on-climate-education/</t>
  </si>
  <si>
    <t>Fellowship on Climate Education</t>
  </si>
  <si>
    <t>RFAs: Wells Mountain Initiative Scholars Program</t>
  </si>
  <si>
    <t>Wells Mountain Initiative (WMI)</t>
  </si>
  <si>
    <t>https://www2.fundsforngos.org/education/rfas-wells-mountain-initiative-scholars-program/</t>
  </si>
  <si>
    <t>USD 300–3,000</t>
  </si>
  <si>
    <t>Developing Countries</t>
  </si>
  <si>
    <t>partial scholarships for students</t>
  </si>
  <si>
    <t>Call for Proposals: TVET in the Energy and Water Sectors in Mozambique</t>
  </si>
  <si>
    <t>Enable Program</t>
  </si>
  <si>
    <t>https://www2.fundsforngos.org/education/call-for-proposals-tvet-in-the-energy-and-water-sectors-in-mozambique/</t>
  </si>
  <si>
    <t>€60,000 to €230,000</t>
  </si>
  <si>
    <t>Mozambique</t>
  </si>
  <si>
    <t>TVET in the Energy and Water Sectors in Mozambique</t>
  </si>
  <si>
    <t>Entries open for TechGirls Program</t>
  </si>
  <si>
    <t>TechGirls Program</t>
  </si>
  <si>
    <t>https://www2.fundsforngos.org/education/entries-open-for-techgirls-program/</t>
  </si>
  <si>
    <t>Fully funded (covers airfare, visa, housing, meals, etc.)</t>
  </si>
  <si>
    <t> female students aged 15–17 to participate in a U.S.-based exchange focused on STEM education and careers.</t>
  </si>
  <si>
    <t>Apply for Mama Hope Localization Development Accelerator Program</t>
  </si>
  <si>
    <t>Mama Hope</t>
  </si>
  <si>
    <t>https://www2.fundsforngos.org/community-development/apply-for-mama-hope-localization-development-accelerator-program/</t>
  </si>
  <si>
    <t>Based in East Africa: Kenya, Rwanda, Uganda, or Tanzania. Locally led and founded by members of the community</t>
  </si>
  <si>
    <t>Call for Proposals to provide for Gender Action Learning System Methodology and Roll Out (South Sudan)</t>
  </si>
  <si>
    <t>United Nations Development Programme (UNDP)</t>
  </si>
  <si>
    <t>https://www2.fundsforngos.org/community-development/call-for-proposals-to-provide-for-gender-action-learning-system-methodology-and-roll-out-south-sudan/</t>
  </si>
  <si>
    <t>to provide for Gender Action Learning System Methodology and Roll Out (South Sudan)</t>
  </si>
  <si>
    <t>Open Call for School Feeding and Nutrition Program in Warrap State (South Sudan)</t>
  </si>
  <si>
    <t>https://www2.fundsforngos.org/children/open-call-for-school-feeding-and-nutrition-program-in-warrap-state-south-sudan/</t>
  </si>
  <si>
    <t> School Feeding and Nutrition Program in Warrap State (South Sudan)</t>
  </si>
  <si>
    <t>RFAs: Nutrition and School Feeding Activities in UNS- Renk County (South Sudan)</t>
  </si>
  <si>
    <t>https://www2.fundsforngos.org/children/rfas-nutrition-and-school-feeding-activities-in-uns-renk-county-south-sudan/</t>
  </si>
  <si>
    <t>Nutrition and School Feeding Activities in UNS- Renk County (South Sudan)</t>
  </si>
  <si>
    <t>CFAs: Promoting Social and Cross-Group Dialogue and Exchange Project (Taiwan)</t>
  </si>
  <si>
    <t>Taiwan Foundation for Democracy (TFD)</t>
  </si>
  <si>
    <t>https://www2.fundsforngos.org/education/cfas-promoting-social-and-cross-group-dialogue-and-exchange-project-taiwan/</t>
  </si>
  <si>
    <t>Taiwan</t>
  </si>
  <si>
    <t>romoting Social and Cross-Group Dialogue and Exchange Project” (Taiwan)</t>
  </si>
  <si>
    <t>Call for Proposals: Micro Grant Program (Denmark)</t>
  </si>
  <si>
    <t>Mikrolegat Micro Grant Program</t>
  </si>
  <si>
    <t>https://www2.fundsforngos.org/education/call-for-proposals-micro-grant-program-denmark/</t>
  </si>
  <si>
    <t>Up to DKK 50,000</t>
  </si>
  <si>
    <t>Denmark</t>
  </si>
  <si>
    <t>Micro Grant Program (Denmark)</t>
  </si>
  <si>
    <t>Abbott Fund</t>
  </si>
  <si>
    <t>https://www.abbottfund.org</t>
  </si>
  <si>
    <t>Health &amp; community development support</t>
  </si>
  <si>
    <t>invest in innovative ideas that expand access to health care, strengthen communities where we live and operate, and promote science and health education.</t>
  </si>
  <si>
    <t>NGO partnership grants</t>
  </si>
  <si>
    <t>Abilis Foundation</t>
  </si>
  <si>
    <t xml:space="preserve">https://abilisfoundation.org </t>
  </si>
  <si>
    <t>Grants for disability inclusion &amp; community services</t>
  </si>
  <si>
    <t>Focus on people with disabilities</t>
  </si>
  <si>
    <t>Accenture Development Partnerships (ADP)</t>
  </si>
  <si>
    <t>Accenture</t>
  </si>
  <si>
    <t xml:space="preserve">https://www.accenture.com/lk-en/about/company/accenture-development-partnerships-index </t>
  </si>
  <si>
    <t>Leveraging Accenture's expertise to help development organizations with digital transformation, often in areas like health, education, and livelihoods.</t>
  </si>
  <si>
    <t>Often for large-scale development challenges, in partnership with established NGOs</t>
  </si>
  <si>
    <t>Not  a donor/grantor</t>
  </si>
  <si>
    <t>Accenture Skills to Succeed</t>
  </si>
  <si>
    <t>https://www.accenture.com/za-en/about/corporate-citizenship/skills-succeed-south-africa#:~:text=To%20address%20youth%20unemployment%2C%20Accenture,well%20as%20broader%20business%20skills.</t>
  </si>
  <si>
    <t>Equipping people with the skills to get a job or build a business. Focus on digital skills, future of work.</t>
  </si>
  <si>
    <t>Non-profits, educational institutions</t>
  </si>
  <si>
    <t>ActionAid Zambia</t>
  </si>
  <si>
    <t xml:space="preserve">https://www.actionaid.org </t>
  </si>
  <si>
    <t>Community &amp; grassroots development grants</t>
  </si>
  <si>
    <t>Grassroots community support</t>
  </si>
  <si>
    <r>
      <t> </t>
    </r>
    <r>
      <rPr>
        <sz val="15"/>
        <rFont val="Auxilia"/>
        <charset val="1"/>
      </rPr>
      <t>women</t>
    </r>
    <r>
      <rPr>
        <sz val="15"/>
        <color rgb="FF1C1C1C"/>
        <rFont val="Auxilia"/>
        <charset val="1"/>
      </rPr>
      <t>, </t>
    </r>
    <r>
      <rPr>
        <sz val="15"/>
        <rFont val="Auxilia"/>
        <charset val="1"/>
      </rPr>
      <t>politics and economics</t>
    </r>
    <r>
      <rPr>
        <sz val="15"/>
        <color rgb="FF1C1C1C"/>
        <rFont val="Auxilia"/>
        <charset val="1"/>
      </rPr>
      <t>, </t>
    </r>
    <r>
      <rPr>
        <sz val="15"/>
        <rFont val="Auxilia"/>
        <charset val="1"/>
      </rPr>
      <t>land and climate</t>
    </r>
    <r>
      <rPr>
        <sz val="15"/>
        <color rgb="FF1C1C1C"/>
        <rFont val="Auxilia"/>
        <charset val="1"/>
      </rPr>
      <t>, and </t>
    </r>
    <r>
      <rPr>
        <sz val="15"/>
        <rFont val="Auxilia"/>
        <charset val="1"/>
      </rPr>
      <t>emergencies</t>
    </r>
    <r>
      <rPr>
        <sz val="15"/>
        <color rgb="FF1C1C1C"/>
        <rFont val="Auxilia"/>
        <charset val="1"/>
      </rPr>
      <t>. </t>
    </r>
  </si>
  <si>
    <t>Africa Civil Society Grants</t>
  </si>
  <si>
    <t>Grants to build citizen voice and rights</t>
  </si>
  <si>
    <t>Advocacy &amp; governance</t>
  </si>
  <si>
    <t>for scholarships</t>
  </si>
  <si>
    <t>Africa Cocoa Fund</t>
  </si>
  <si>
    <t>Grants supporting cocoa value chain sustainability</t>
  </si>
  <si>
    <t>Agriculture &amp; livelihoods</t>
  </si>
  <si>
    <t>Africa No Filter</t>
  </si>
  <si>
    <t xml:space="preserve">https://africanofilter.org </t>
  </si>
  <si>
    <t>African narrative &amp; media funding</t>
  </si>
  <si>
    <t>Creative &amp; youth</t>
  </si>
  <si>
    <t>T-Mobile Hometown Grant Application Q1 2026</t>
  </si>
  <si>
    <t>T-Mobile Hometown </t>
  </si>
  <si>
    <t>https://nationalmainstreetcenter.submittable.com/submit/345214/t-mobile-hometown-grant-application-q1-2026-january-5-march-31-2026</t>
  </si>
  <si>
    <t>initiative to support the people and organizations who help small rural towns across America thrive and grow. I</t>
  </si>
  <si>
    <t>American Express Foundation Grants</t>
  </si>
  <si>
    <t>American Express Foundation</t>
  </si>
  <si>
    <t>https://www.fundsforngos.org/corporate-donors/american-express-foundation/</t>
  </si>
  <si>
    <t>Historic preservation, leadership development, and community service.</t>
  </si>
  <si>
    <t>DIFFERENT TYPES OF GRANTS AND EVENTS OPENING ON MARCH 17, 31, APRIL 13, 22 MAY 27 https://mainstreet.org/the-latest/events-opportunities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</si>
</sst>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51">
    <font>
      <sz val="11"/>
      <name val="Calibri"/>
      <charset val="134"/>
      <scheme val="minor"/>
    </font>
    <font>
      <b/>
      <sz val="11"/>
      <color rgb="FF000000"/>
      <name val="Calibri"/>
      <charset val="134"/>
    </font>
    <font>
      <b/>
      <sz val="11"/>
      <color rgb="FF0000FF"/>
      <name val="Calibri"/>
      <charset val="134"/>
    </font>
    <font>
      <sz val="11"/>
      <name val="Calibri"/>
      <charset val="134"/>
    </font>
    <font>
      <u/>
      <sz val="11"/>
      <color rgb="FF0000FF"/>
      <name val="Calibri"/>
      <scheme val="minor"/>
    </font>
    <font>
      <sz val="11"/>
      <name val="Calibri"/>
      <family val="2"/>
      <scheme val="minor"/>
    </font>
    <font>
      <b/>
      <sz val="11"/>
      <name val="Calibri"/>
      <family val="2"/>
      <scheme val="minor"/>
    </font>
    <font>
      <b/>
      <sz val="11"/>
      <color rgb="FF000000"/>
      <name val="Calibri"/>
      <scheme val="minor"/>
    </font>
    <font>
      <sz val="12"/>
      <color rgb="FF000000"/>
      <name val="Calibri"/>
      <scheme val="minor"/>
    </font>
    <font>
      <sz val="12"/>
      <name val="Calibri"/>
      <scheme val="minor"/>
    </font>
    <font>
      <u/>
      <sz val="12"/>
      <color rgb="FF0000FF"/>
      <name val="Calibri"/>
      <scheme val="minor"/>
    </font>
    <font>
      <b/>
      <sz val="12"/>
      <color rgb="FFFF0000"/>
      <name val="Calibri"/>
      <scheme val="minor"/>
    </font>
    <font>
      <b/>
      <sz val="12"/>
      <name val="Calibri"/>
      <scheme val="minor"/>
    </font>
    <font>
      <sz val="12"/>
      <color rgb="FF0000FF"/>
      <name val="Calibri"/>
      <scheme val="minor"/>
    </font>
    <font>
      <sz val="12"/>
      <name val="Calibri"/>
      <charset val="134"/>
    </font>
    <font>
      <b/>
      <sz val="11"/>
      <color rgb="FFFF0000"/>
      <name val="Calibri"/>
      <charset val="134"/>
    </font>
    <font>
      <sz val="12"/>
      <color rgb="FF222222"/>
      <name val="TSLanguageFont"/>
      <charset val="1"/>
    </font>
    <font>
      <b/>
      <sz val="11"/>
      <name val="Calibri"/>
      <scheme val="minor"/>
    </font>
    <font>
      <b/>
      <sz val="14"/>
      <color rgb="FF000000"/>
      <name val="Calibri"/>
      <scheme val="minor"/>
    </font>
    <font>
      <sz val="14"/>
      <color rgb="FF000000"/>
      <name val="Calibri"/>
      <scheme val="minor"/>
    </font>
    <font>
      <sz val="10"/>
      <name val="Calibri"/>
      <scheme val="minor"/>
    </font>
    <font>
      <u/>
      <sz val="10"/>
      <color rgb="FF0000FF"/>
      <name val="Calibri"/>
      <scheme val="minor"/>
    </font>
    <font>
      <i/>
      <sz val="10"/>
      <color rgb="FF333333"/>
      <name val="Calibri"/>
      <scheme val="minor"/>
    </font>
    <font>
      <sz val="10"/>
      <color rgb="FF000000"/>
      <name val="Calibri"/>
      <scheme val="minor"/>
    </font>
    <font>
      <sz val="10"/>
      <color rgb="FF4A4A4A"/>
      <name val="Calibri"/>
      <scheme val="minor"/>
    </font>
    <font>
      <sz val="10"/>
      <color rgb="FF333333"/>
      <name val="Calibri"/>
      <scheme val="minor"/>
    </font>
    <font>
      <sz val="10"/>
      <color rgb="FF212121"/>
      <name val="Calibri"/>
      <scheme val="minor"/>
    </font>
    <font>
      <sz val="10"/>
      <color rgb="FF303030"/>
      <name val="Calibri"/>
      <scheme val="minor"/>
    </font>
    <font>
      <sz val="10"/>
      <color rgb="FF242424"/>
      <name val="Calibri"/>
      <scheme val="minor"/>
    </font>
    <font>
      <b/>
      <sz val="10"/>
      <color rgb="FF000000"/>
      <name val="Calibri"/>
      <charset val="134"/>
    </font>
    <font>
      <sz val="10"/>
      <color rgb="FF000000"/>
      <name val="Calibri"/>
      <charset val="134"/>
      <scheme val="minor"/>
    </font>
    <font>
      <sz val="10"/>
      <name val="Calibri"/>
      <charset val="134"/>
      <scheme val="minor"/>
    </font>
    <font>
      <sz val="10"/>
      <color rgb="FF3F3F3F"/>
      <name val="Calibri"/>
      <scheme val="minor"/>
    </font>
    <font>
      <sz val="10"/>
      <color rgb="FF002D41"/>
      <name val="Calibri"/>
      <scheme val="minor"/>
    </font>
    <font>
      <sz val="10"/>
      <color rgb="FF191919"/>
      <name val="Calibri"/>
      <scheme val="minor"/>
    </font>
    <font>
      <sz val="10"/>
      <color rgb="FF031C2D"/>
      <name val="Calibri"/>
      <scheme val="minor"/>
    </font>
    <font>
      <sz val="10"/>
      <color rgb="FF212529"/>
      <name val="Calibri"/>
      <scheme val="minor"/>
    </font>
    <font>
      <sz val="10"/>
      <color rgb="FF223438"/>
      <name val="Calibri"/>
      <scheme val="minor"/>
    </font>
    <font>
      <sz val="10"/>
      <color rgb="FFFF0000"/>
      <name val="Calibri"/>
      <scheme val="minor"/>
    </font>
    <font>
      <u/>
      <sz val="10"/>
      <color rgb="FFFF0000"/>
      <name val="Calibri"/>
      <scheme val="minor"/>
    </font>
    <font>
      <b/>
      <sz val="11"/>
      <name val="Calibri"/>
      <charset val="134"/>
      <scheme val="minor"/>
    </font>
    <font>
      <sz val="11"/>
      <color rgb="FFFF0000"/>
      <name val="Calibri"/>
      <charset val="134"/>
      <scheme val="minor"/>
    </font>
    <font>
      <sz val="15"/>
      <name val="Auxilia"/>
      <charset val="1"/>
    </font>
    <font>
      <sz val="15"/>
      <color rgb="FF1C1C1C"/>
      <name val="Auxilia"/>
      <charset val="1"/>
    </font>
    <font>
      <sz val="11"/>
      <color rgb="FFFF0000"/>
      <name val="Aptos Narrow"/>
      <charset val="1"/>
    </font>
    <font>
      <sz val="10"/>
      <name val="Arial"/>
      <family val="2"/>
    </font>
    <font>
      <b/>
      <sz val="10"/>
      <name val="Arial"/>
      <family val="2"/>
    </font>
    <font>
      <b/>
      <sz val="10"/>
      <name val="Calibri"/>
      <family val="2"/>
      <scheme val="minor"/>
    </font>
    <font>
      <sz val="11"/>
      <color rgb="FFFF0000"/>
      <name val="Calibri"/>
      <charset val="134"/>
    </font>
    <font>
      <sz val="11"/>
      <color rgb="FFFF0000"/>
      <name val="Calibri"/>
      <family val="2"/>
    </font>
    <font>
      <sz val="10"/>
      <color rgb="FFFF0000"/>
      <name val="Calibri"/>
      <charset val="134"/>
      <scheme val="minor"/>
    </font>
  </fonts>
  <fills count="11">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rgb="FFFFC000"/>
        <bgColor indexed="64"/>
      </patternFill>
    </fill>
    <fill>
      <patternFill patternType="solid">
        <fgColor rgb="FFF2DCDB"/>
        <bgColor rgb="FF000000"/>
      </patternFill>
    </fill>
    <fill>
      <patternFill patternType="solid">
        <fgColor rgb="FFFABF8F"/>
        <bgColor rgb="FF000000"/>
      </patternFill>
    </fill>
    <fill>
      <patternFill patternType="solid">
        <fgColor rgb="FFFFFF00"/>
        <bgColor rgb="FF0000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right/>
      <top/>
      <bottom style="medium">
        <color rgb="FF000000"/>
      </bottom>
      <diagonal/>
    </border>
  </borders>
  <cellStyleXfs count="2">
    <xf numFmtId="0" fontId="0" fillId="0" borderId="0"/>
    <xf numFmtId="0" fontId="4" fillId="0" borderId="0" applyNumberFormat="0" applyFill="0" applyBorder="0" applyAlignment="0" applyProtection="0">
      <alignment vertical="center"/>
    </xf>
  </cellStyleXfs>
  <cellXfs count="146">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xf numFmtId="0" fontId="2" fillId="0" borderId="1" xfId="0" applyFont="1" applyBorder="1" applyAlignment="1">
      <alignment horizontal="center" vertical="top" wrapText="1"/>
    </xf>
    <xf numFmtId="0" fontId="1" fillId="0" borderId="1" xfId="0" applyFont="1" applyBorder="1" applyAlignment="1">
      <alignment horizontal="center" vertical="top" wrapText="1"/>
    </xf>
    <xf numFmtId="0" fontId="3" fillId="0" borderId="0" xfId="0" applyFont="1"/>
    <xf numFmtId="0" fontId="3" fillId="0" borderId="0" xfId="0" applyFont="1" applyAlignment="1">
      <alignment wrapText="1"/>
    </xf>
    <xf numFmtId="0" fontId="1" fillId="0" borderId="0" xfId="0" applyFont="1"/>
    <xf numFmtId="0" fontId="4" fillId="0" borderId="0" xfId="1" applyAlignment="1"/>
    <xf numFmtId="0" fontId="0" fillId="2" borderId="0" xfId="0" applyFill="1"/>
    <xf numFmtId="0" fontId="6" fillId="0" borderId="0" xfId="0" applyFont="1"/>
    <xf numFmtId="0" fontId="5" fillId="0" borderId="0" xfId="0" applyFont="1"/>
    <xf numFmtId="0" fontId="7" fillId="0" borderId="0" xfId="0" applyFont="1"/>
    <xf numFmtId="0" fontId="4" fillId="0" borderId="0" xfId="1" applyAlignment="1">
      <alignment wrapText="1"/>
    </xf>
    <xf numFmtId="0" fontId="4" fillId="0" borderId="0" xfId="1" applyFill="1" applyAlignment="1">
      <alignment wrapText="1"/>
    </xf>
    <xf numFmtId="0" fontId="12" fillId="0" borderId="0" xfId="0" applyFont="1" applyAlignment="1">
      <alignment horizontal="left" vertical="center" wrapText="1"/>
    </xf>
    <xf numFmtId="0" fontId="9" fillId="0" borderId="0" xfId="0" applyFont="1" applyAlignment="1">
      <alignment horizontal="left" vertical="center" wrapText="1"/>
    </xf>
    <xf numFmtId="0" fontId="8" fillId="0" borderId="0" xfId="0" applyFont="1" applyAlignment="1">
      <alignment horizontal="left"/>
    </xf>
    <xf numFmtId="14" fontId="9" fillId="0" borderId="0" xfId="0" applyNumberFormat="1" applyFont="1" applyAlignment="1">
      <alignment horizontal="left" readingOrder="1"/>
    </xf>
    <xf numFmtId="0" fontId="10" fillId="0" borderId="0" xfId="1" applyFont="1" applyFill="1" applyBorder="1" applyAlignment="1">
      <alignment horizontal="left"/>
    </xf>
    <xf numFmtId="0" fontId="9" fillId="0" borderId="0" xfId="0" applyFont="1" applyAlignment="1">
      <alignment horizontal="left"/>
    </xf>
    <xf numFmtId="3" fontId="9" fillId="0" borderId="0" xfId="0" applyNumberFormat="1" applyFont="1" applyAlignment="1">
      <alignment horizontal="left" vertical="center" wrapText="1" readingOrder="1"/>
    </xf>
    <xf numFmtId="3" fontId="9" fillId="0" borderId="0" xfId="0" applyNumberFormat="1" applyFont="1" applyAlignment="1">
      <alignment horizontal="left" vertical="center" readingOrder="1"/>
    </xf>
    <xf numFmtId="0" fontId="13" fillId="0" borderId="0" xfId="1" applyFont="1" applyFill="1" applyBorder="1" applyAlignment="1">
      <alignment horizontal="left" wrapText="1" readingOrder="1"/>
    </xf>
    <xf numFmtId="0" fontId="12" fillId="0" borderId="0" xfId="0" applyFont="1" applyAlignment="1">
      <alignment horizontal="left" wrapText="1"/>
    </xf>
    <xf numFmtId="0" fontId="13" fillId="0" borderId="0" xfId="1" applyFont="1" applyFill="1" applyBorder="1" applyAlignment="1">
      <alignment horizontal="left" wrapText="1"/>
    </xf>
    <xf numFmtId="0" fontId="8" fillId="0" borderId="0" xfId="0" applyFont="1" applyAlignment="1">
      <alignment horizontal="left" vertical="center" wrapText="1"/>
    </xf>
    <xf numFmtId="0" fontId="9" fillId="0" borderId="0" xfId="0" applyFont="1" applyAlignment="1">
      <alignment horizontal="left" wrapText="1"/>
    </xf>
    <xf numFmtId="0" fontId="12" fillId="0" borderId="0" xfId="0" applyFont="1" applyAlignment="1">
      <alignment horizontal="left" readingOrder="1"/>
    </xf>
    <xf numFmtId="0" fontId="9" fillId="0" borderId="0" xfId="0" applyFont="1" applyAlignment="1">
      <alignment horizontal="left" readingOrder="1"/>
    </xf>
    <xf numFmtId="3" fontId="9" fillId="0" borderId="0" xfId="0" applyNumberFormat="1" applyFont="1" applyAlignment="1">
      <alignment horizontal="left" readingOrder="1"/>
    </xf>
    <xf numFmtId="15" fontId="9" fillId="0" borderId="0" xfId="0" applyNumberFormat="1" applyFont="1" applyAlignment="1">
      <alignment horizontal="left" readingOrder="1"/>
    </xf>
    <xf numFmtId="0" fontId="11" fillId="0" borderId="0" xfId="0" applyFont="1" applyAlignment="1">
      <alignment horizontal="left" wrapText="1"/>
    </xf>
    <xf numFmtId="0" fontId="10" fillId="0" borderId="0" xfId="1" applyFont="1" applyFill="1" applyBorder="1" applyAlignment="1">
      <alignment horizontal="left" wrapText="1"/>
    </xf>
    <xf numFmtId="0" fontId="10" fillId="0" borderId="0" xfId="1" applyFont="1" applyFill="1" applyBorder="1" applyAlignment="1">
      <alignment horizontal="left" wrapText="1" readingOrder="1"/>
    </xf>
    <xf numFmtId="0" fontId="14" fillId="0" borderId="0" xfId="0" applyFont="1"/>
    <xf numFmtId="0" fontId="10" fillId="0" borderId="0" xfId="1" applyFont="1" applyFill="1" applyAlignment="1">
      <alignment wrapText="1"/>
    </xf>
    <xf numFmtId="6" fontId="14" fillId="0" borderId="0" xfId="0" applyNumberFormat="1" applyFont="1" applyAlignment="1">
      <alignment wrapText="1"/>
    </xf>
    <xf numFmtId="0" fontId="14" fillId="0" borderId="0" xfId="0" applyFont="1" applyAlignment="1">
      <alignment wrapText="1"/>
    </xf>
    <xf numFmtId="0" fontId="4" fillId="0" borderId="0" xfId="1" applyFill="1" applyAlignment="1">
      <alignment horizontal="left" wrapText="1"/>
    </xf>
    <xf numFmtId="0" fontId="16" fillId="0" borderId="0" xfId="0" applyFont="1"/>
    <xf numFmtId="0" fontId="12" fillId="0" borderId="0" xfId="0" applyFont="1" applyAlignment="1">
      <alignment wrapText="1"/>
    </xf>
    <xf numFmtId="0" fontId="17" fillId="0" borderId="0" xfId="0" applyFont="1" applyAlignment="1">
      <alignment wrapText="1"/>
    </xf>
    <xf numFmtId="0" fontId="17" fillId="0" borderId="0" xfId="0" applyFont="1"/>
    <xf numFmtId="0" fontId="18" fillId="0" borderId="0" xfId="0" applyFont="1" applyAlignment="1">
      <alignment horizontal="left" vertical="center" wrapText="1"/>
    </xf>
    <xf numFmtId="0" fontId="18" fillId="0" borderId="0" xfId="0" applyFont="1" applyAlignment="1">
      <alignment horizontal="left"/>
    </xf>
    <xf numFmtId="0" fontId="19" fillId="0" borderId="0" xfId="0" applyFont="1" applyAlignment="1">
      <alignment horizontal="left"/>
    </xf>
    <xf numFmtId="0" fontId="20" fillId="0" borderId="0" xfId="0" applyFont="1" applyAlignment="1">
      <alignment readingOrder="1"/>
    </xf>
    <xf numFmtId="15" fontId="20" fillId="0" borderId="0" xfId="0" applyNumberFormat="1" applyFont="1" applyAlignment="1">
      <alignment readingOrder="1"/>
    </xf>
    <xf numFmtId="0" fontId="21" fillId="0" borderId="0" xfId="1" applyFont="1" applyFill="1" applyBorder="1" applyAlignment="1">
      <alignment readingOrder="1"/>
    </xf>
    <xf numFmtId="0" fontId="21" fillId="0" borderId="0" xfId="1" applyFont="1" applyFill="1" applyBorder="1" applyAlignment="1"/>
    <xf numFmtId="17" fontId="20" fillId="0" borderId="0" xfId="0" applyNumberFormat="1" applyFont="1" applyAlignment="1">
      <alignment readingOrder="1"/>
    </xf>
    <xf numFmtId="6" fontId="20" fillId="0" borderId="0" xfId="0" applyNumberFormat="1" applyFont="1" applyAlignment="1">
      <alignment readingOrder="1"/>
    </xf>
    <xf numFmtId="0" fontId="20" fillId="0" borderId="0" xfId="0" applyFont="1" applyAlignment="1">
      <alignment horizontal="left" vertical="center"/>
    </xf>
    <xf numFmtId="0" fontId="31" fillId="0" borderId="0" xfId="0" applyFont="1"/>
    <xf numFmtId="0" fontId="29" fillId="0" borderId="0" xfId="0" applyFont="1" applyAlignment="1">
      <alignment horizontal="center" vertical="top" wrapText="1"/>
    </xf>
    <xf numFmtId="0" fontId="29" fillId="0" borderId="0" xfId="0" applyFont="1"/>
    <xf numFmtId="0" fontId="29" fillId="0" borderId="0" xfId="0" applyFont="1" applyAlignment="1">
      <alignment horizontal="center" vertical="top"/>
    </xf>
    <xf numFmtId="0" fontId="30" fillId="0" borderId="0" xfId="0" applyFont="1"/>
    <xf numFmtId="0" fontId="31" fillId="0" borderId="0" xfId="0" applyFont="1" applyAlignment="1">
      <alignment wrapText="1"/>
    </xf>
    <xf numFmtId="0" fontId="31" fillId="3" borderId="0" xfId="0" applyFont="1" applyFill="1"/>
    <xf numFmtId="0" fontId="20" fillId="0" borderId="0" xfId="0" applyFont="1"/>
    <xf numFmtId="0" fontId="20" fillId="4" borderId="0" xfId="0" applyFont="1" applyFill="1" applyAlignment="1">
      <alignment readingOrder="1"/>
    </xf>
    <xf numFmtId="0" fontId="21" fillId="4" borderId="0" xfId="1" applyFont="1" applyFill="1" applyBorder="1" applyAlignment="1">
      <alignment readingOrder="1"/>
    </xf>
    <xf numFmtId="15" fontId="20" fillId="4" borderId="0" xfId="0" applyNumberFormat="1" applyFont="1" applyFill="1" applyAlignment="1">
      <alignment readingOrder="1"/>
    </xf>
    <xf numFmtId="0" fontId="38" fillId="0" borderId="0" xfId="0" applyFont="1" applyAlignment="1">
      <alignment readingOrder="1"/>
    </xf>
    <xf numFmtId="15" fontId="38" fillId="0" borderId="0" xfId="0" applyNumberFormat="1" applyFont="1" applyAlignment="1">
      <alignment readingOrder="1"/>
    </xf>
    <xf numFmtId="0" fontId="20" fillId="0" borderId="0" xfId="0" applyFont="1" applyAlignment="1">
      <alignment wrapText="1"/>
    </xf>
    <xf numFmtId="0" fontId="20" fillId="4" borderId="0" xfId="0" applyFont="1" applyFill="1"/>
    <xf numFmtId="0" fontId="20" fillId="4" borderId="0" xfId="0" applyFont="1" applyFill="1" applyAlignment="1">
      <alignment vertical="center"/>
    </xf>
    <xf numFmtId="0" fontId="25" fillId="4" borderId="0" xfId="0" applyFont="1" applyFill="1"/>
    <xf numFmtId="0" fontId="23" fillId="0" borderId="0" xfId="0" applyFont="1" applyAlignment="1">
      <alignment horizontal="center" vertical="top"/>
    </xf>
    <xf numFmtId="0" fontId="39" fillId="0" borderId="0" xfId="1" applyFont="1" applyFill="1" applyBorder="1" applyAlignment="1">
      <alignment readingOrder="1"/>
    </xf>
    <xf numFmtId="0" fontId="21" fillId="0" borderId="0" xfId="1" applyFont="1" applyAlignment="1"/>
    <xf numFmtId="0" fontId="21" fillId="4" borderId="0" xfId="1" applyFont="1" applyFill="1" applyBorder="1" applyAlignment="1"/>
    <xf numFmtId="0" fontId="21" fillId="4" borderId="0" xfId="1" applyFont="1" applyFill="1" applyBorder="1" applyAlignment="1">
      <alignment vertical="center"/>
    </xf>
    <xf numFmtId="0" fontId="23" fillId="0" borderId="0" xfId="0" applyFont="1"/>
    <xf numFmtId="0" fontId="22" fillId="0" borderId="0" xfId="0" applyFont="1"/>
    <xf numFmtId="0" fontId="24" fillId="0" borderId="0" xfId="0" applyFont="1"/>
    <xf numFmtId="0" fontId="38" fillId="0" borderId="0" xfId="0" applyFont="1"/>
    <xf numFmtId="0" fontId="25" fillId="0" borderId="0" xfId="0" applyFont="1"/>
    <xf numFmtId="0" fontId="26" fillId="0" borderId="0" xfId="0" applyFont="1"/>
    <xf numFmtId="0" fontId="27" fillId="0" borderId="0" xfId="0" applyFont="1"/>
    <xf numFmtId="17" fontId="20" fillId="0" borderId="0" xfId="0" applyNumberFormat="1" applyFont="1"/>
    <xf numFmtId="0" fontId="28" fillId="0" borderId="0" xfId="0" applyFont="1"/>
    <xf numFmtId="0" fontId="37" fillId="0" borderId="0" xfId="0" applyFont="1"/>
    <xf numFmtId="0" fontId="32" fillId="0" borderId="0" xfId="0" applyFont="1"/>
    <xf numFmtId="0" fontId="33" fillId="0" borderId="0" xfId="0" applyFont="1"/>
    <xf numFmtId="0" fontId="34" fillId="0" borderId="0" xfId="0" applyFont="1"/>
    <xf numFmtId="0" fontId="35" fillId="0" borderId="0" xfId="0" applyFont="1"/>
    <xf numFmtId="0" fontId="36" fillId="0" borderId="0" xfId="0" applyFont="1"/>
    <xf numFmtId="0" fontId="35" fillId="4" borderId="0" xfId="0" applyFont="1" applyFill="1"/>
    <xf numFmtId="0" fontId="36" fillId="4" borderId="0" xfId="0" applyFont="1" applyFill="1"/>
    <xf numFmtId="0" fontId="23" fillId="4" borderId="0" xfId="0" applyFont="1" applyFill="1"/>
    <xf numFmtId="15" fontId="20" fillId="4" borderId="0" xfId="0" applyNumberFormat="1" applyFont="1" applyFill="1" applyAlignment="1">
      <alignment horizontal="right"/>
    </xf>
    <xf numFmtId="9" fontId="0" fillId="0" borderId="0" xfId="0" applyNumberFormat="1"/>
    <xf numFmtId="0" fontId="40" fillId="0" borderId="0" xfId="0" applyFont="1"/>
    <xf numFmtId="0" fontId="40" fillId="0" borderId="0" xfId="0" applyFont="1" applyAlignment="1">
      <alignment horizontal="right"/>
    </xf>
    <xf numFmtId="3" fontId="0" fillId="0" borderId="0" xfId="0" applyNumberFormat="1"/>
    <xf numFmtId="14" fontId="0" fillId="0" borderId="0" xfId="0" applyNumberFormat="1"/>
    <xf numFmtId="15" fontId="0" fillId="0" borderId="0" xfId="0" applyNumberFormat="1"/>
    <xf numFmtId="0" fontId="0" fillId="0" borderId="0" xfId="0" applyAlignment="1">
      <alignment horizontal="right"/>
    </xf>
    <xf numFmtId="9" fontId="40" fillId="0" borderId="0" xfId="0" applyNumberFormat="1" applyFont="1"/>
    <xf numFmtId="0" fontId="43" fillId="0" borderId="0" xfId="0" applyFont="1"/>
    <xf numFmtId="0" fontId="0" fillId="5" borderId="0" xfId="0" applyFill="1"/>
    <xf numFmtId="0" fontId="4" fillId="5" borderId="0" xfId="1" applyFill="1" applyAlignment="1"/>
    <xf numFmtId="0" fontId="31" fillId="5" borderId="0" xfId="0" applyFont="1" applyFill="1"/>
    <xf numFmtId="0" fontId="41" fillId="5" borderId="0" xfId="0" applyFont="1" applyFill="1"/>
    <xf numFmtId="0" fontId="44" fillId="5" borderId="0" xfId="0" applyFont="1" applyFill="1"/>
    <xf numFmtId="0" fontId="45" fillId="0" borderId="2" xfId="0" applyFont="1" applyBorder="1" applyAlignment="1">
      <alignment wrapText="1"/>
    </xf>
    <xf numFmtId="0" fontId="45" fillId="0" borderId="2" xfId="0" applyFont="1" applyBorder="1" applyAlignment="1">
      <alignment vertical="center"/>
    </xf>
    <xf numFmtId="0" fontId="45" fillId="0" borderId="2" xfId="0" applyFont="1" applyBorder="1" applyAlignment="1">
      <alignment horizontal="right" wrapText="1"/>
    </xf>
    <xf numFmtId="0" fontId="46" fillId="0" borderId="2" xfId="0" applyFont="1" applyBorder="1" applyAlignment="1">
      <alignment wrapText="1"/>
    </xf>
    <xf numFmtId="0" fontId="47" fillId="0" borderId="0" xfId="0" applyFont="1" applyAlignment="1">
      <alignment vertical="center" wrapText="1"/>
    </xf>
    <xf numFmtId="0" fontId="47" fillId="0" borderId="0" xfId="0" applyFont="1" applyAlignment="1">
      <alignment vertical="center"/>
    </xf>
    <xf numFmtId="0" fontId="4" fillId="0" borderId="2" xfId="1" applyBorder="1" applyAlignment="1">
      <alignment vertical="center"/>
    </xf>
    <xf numFmtId="0" fontId="15" fillId="6" borderId="0" xfId="0" applyFont="1" applyFill="1"/>
    <xf numFmtId="0" fontId="3" fillId="6" borderId="0" xfId="0" applyFont="1" applyFill="1"/>
    <xf numFmtId="0" fontId="0" fillId="6" borderId="0" xfId="0" applyFill="1"/>
    <xf numFmtId="0" fontId="9" fillId="6" borderId="0" xfId="0" applyFont="1" applyFill="1" applyAlignment="1">
      <alignment horizontal="left"/>
    </xf>
    <xf numFmtId="0" fontId="40" fillId="0" borderId="3" xfId="0" applyFont="1" applyBorder="1"/>
    <xf numFmtId="0" fontId="0" fillId="0" borderId="3" xfId="0" applyBorder="1"/>
    <xf numFmtId="9" fontId="0" fillId="0" borderId="3" xfId="0" applyNumberFormat="1" applyBorder="1"/>
    <xf numFmtId="0" fontId="47" fillId="5" borderId="0" xfId="0" applyFont="1" applyFill="1" applyAlignment="1">
      <alignment vertical="center" wrapText="1"/>
    </xf>
    <xf numFmtId="0" fontId="20" fillId="5" borderId="0" xfId="0" applyFont="1" applyFill="1" applyAlignment="1">
      <alignment wrapText="1"/>
    </xf>
    <xf numFmtId="0" fontId="45" fillId="5" borderId="2" xfId="0" applyFont="1" applyFill="1" applyBorder="1" applyAlignment="1">
      <alignment wrapText="1"/>
    </xf>
    <xf numFmtId="0" fontId="20" fillId="5" borderId="0" xfId="0" applyFont="1" applyFill="1"/>
    <xf numFmtId="6" fontId="45" fillId="5" borderId="2" xfId="0" applyNumberFormat="1" applyFont="1" applyFill="1" applyBorder="1" applyAlignment="1">
      <alignment horizontal="right" wrapText="1"/>
    </xf>
    <xf numFmtId="0" fontId="45" fillId="5" borderId="2" xfId="0" applyFont="1" applyFill="1" applyBorder="1" applyAlignment="1">
      <alignment vertical="center"/>
    </xf>
    <xf numFmtId="0" fontId="4" fillId="5" borderId="2" xfId="1" applyFill="1" applyBorder="1" applyAlignment="1">
      <alignment wrapText="1"/>
    </xf>
    <xf numFmtId="0" fontId="45" fillId="5" borderId="2" xfId="0" applyFont="1" applyFill="1" applyBorder="1" applyAlignment="1">
      <alignment horizontal="right" wrapText="1"/>
    </xf>
    <xf numFmtId="0" fontId="45" fillId="7" borderId="2" xfId="0" applyFont="1" applyFill="1" applyBorder="1" applyAlignment="1">
      <alignment wrapText="1"/>
    </xf>
    <xf numFmtId="6" fontId="45" fillId="7" borderId="2" xfId="0" applyNumberFormat="1" applyFont="1" applyFill="1" applyBorder="1" applyAlignment="1">
      <alignment horizontal="right" wrapText="1"/>
    </xf>
    <xf numFmtId="0" fontId="45" fillId="7" borderId="2" xfId="0" applyFont="1" applyFill="1" applyBorder="1" applyAlignment="1">
      <alignment vertical="center"/>
    </xf>
    <xf numFmtId="0" fontId="4" fillId="7" borderId="2" xfId="1" applyFill="1" applyBorder="1" applyAlignment="1">
      <alignment wrapText="1"/>
    </xf>
    <xf numFmtId="0" fontId="45" fillId="7" borderId="2" xfId="0" applyFont="1" applyFill="1" applyBorder="1" applyAlignment="1">
      <alignment horizontal="right" wrapText="1"/>
    </xf>
    <xf numFmtId="0" fontId="20" fillId="7" borderId="0" xfId="0" applyFont="1" applyFill="1" applyAlignment="1">
      <alignment wrapText="1"/>
    </xf>
    <xf numFmtId="0" fontId="20" fillId="7" borderId="0" xfId="0" applyFont="1" applyFill="1"/>
    <xf numFmtId="0" fontId="48" fillId="8" borderId="0" xfId="0" applyFont="1" applyFill="1"/>
    <xf numFmtId="0" fontId="44" fillId="8" borderId="0" xfId="0" applyFont="1" applyFill="1"/>
    <xf numFmtId="0" fontId="48" fillId="9" borderId="0" xfId="0" applyFont="1" applyFill="1"/>
    <xf numFmtId="0" fontId="49" fillId="9" borderId="0" xfId="0" applyFont="1" applyFill="1"/>
    <xf numFmtId="0" fontId="48" fillId="10" borderId="0" xfId="0" applyFont="1" applyFill="1"/>
    <xf numFmtId="0" fontId="41" fillId="0" borderId="0" xfId="0" applyFont="1"/>
    <xf numFmtId="0" fontId="50" fillId="0" borderId="0" xfId="0" applyFont="1"/>
  </cellXfs>
  <cellStyles count="2">
    <cellStyle name="Hyperlink" xfId="1" builtinId="8"/>
    <cellStyle name="Normal" xfId="0" builtinId="0"/>
  </cellStyles>
  <dxfs count="20">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www.wps.cn/officeDocument/2023/relationships/customStorage" Target="NUL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dell.org/" TargetMode="External"/><Relationship Id="rId13" Type="http://schemas.openxmlformats.org/officeDocument/2006/relationships/hyperlink" Target="https://theirworld.org/small-grants-eligibility-check/?utm_source=chatgpt.com" TargetMode="External"/><Relationship Id="rId18" Type="http://schemas.openxmlformats.org/officeDocument/2006/relationships/hyperlink" Target="https://grantsdatabase.org/2025/12/04/hp-cambridge-partnership-for-education-edtech-fellowship-2026" TargetMode="External"/><Relationship Id="rId26" Type="http://schemas.openxmlformats.org/officeDocument/2006/relationships/hyperlink" Target="https://ealanewchampionsfund.smapply.io/prog/" TargetMode="External"/><Relationship Id="rId3" Type="http://schemas.openxmlformats.org/officeDocument/2006/relationships/hyperlink" Target="https://www.cisco.com/site/us/en/about/purpose/social-impact/investments/global-impact-cash-grants.html?utm_source=chatgpt.com" TargetMode="External"/><Relationship Id="rId21" Type="http://schemas.openxmlformats.org/officeDocument/2006/relationships/hyperlink" Target="https://www.f5.com/company/global-good" TargetMode="External"/><Relationship Id="rId7" Type="http://schemas.openxmlformats.org/officeDocument/2006/relationships/hyperlink" Target="https://my.rotary.org/en/login" TargetMode="External"/><Relationship Id="rId12" Type="http://schemas.openxmlformats.org/officeDocument/2006/relationships/hyperlink" Target="https://humanitycallsinternational.org/organization_form.html" TargetMode="External"/><Relationship Id="rId17" Type="http://schemas.openxmlformats.org/officeDocument/2006/relationships/hyperlink" Target="https://www.lab2market.ca/validate" TargetMode="External"/><Relationship Id="rId25" Type="http://schemas.openxmlformats.org/officeDocument/2006/relationships/hyperlink" Target="https://www2.fundsforngos.org/community-development/funding-available-for-green-and-digital-transition/" TargetMode="External"/><Relationship Id="rId2" Type="http://schemas.openxmlformats.org/officeDocument/2006/relationships/hyperlink" Target="https://www.safaricomfoundation.org/" TargetMode="External"/><Relationship Id="rId16" Type="http://schemas.openxmlformats.org/officeDocument/2006/relationships/hyperlink" Target="https://corporate.charter.com/digital-education/grants" TargetMode="External"/><Relationship Id="rId20" Type="http://schemas.openxmlformats.org/officeDocument/2006/relationships/hyperlink" Target="https://www.techsoupkenya.or.ke/content/about-techsoup-kenya" TargetMode="External"/><Relationship Id="rId29" Type="http://schemas.openxmlformats.org/officeDocument/2006/relationships/hyperlink" Target="https://www.instrumentl.com/grants/nef-grant" TargetMode="External"/><Relationship Id="rId1" Type="http://schemas.openxmlformats.org/officeDocument/2006/relationships/hyperlink" Target="https://www.safaricomfoundation.org/application-form/" TargetMode="External"/><Relationship Id="rId6" Type="http://schemas.openxmlformats.org/officeDocument/2006/relationships/hyperlink" Target="https://www.drschollfoundation.com/" TargetMode="External"/><Relationship Id="rId11" Type="http://schemas.openxmlformats.org/officeDocument/2006/relationships/hyperlink" Target="https://dwfgroup.com/en/about-us/dwf-foundation" TargetMode="External"/><Relationship Id="rId24" Type="http://schemas.openxmlformats.org/officeDocument/2006/relationships/hyperlink" Target="https://ec.europa.eu/info/funding-tenders/opportunities/portal/screen/opportunities/topic-details/ERASMUS-EDU-2026-POL-EXP-T02-DIGITAL-ETHICSAI?order=DESC&amp;pageNumber=1&amp;pageSize=50&amp;sortBy=relevance&amp;keywords=digital%20education%20in%20africa&amp;isExactMatch=true&amp;status=31094502" TargetMode="External"/><Relationship Id="rId5" Type="http://schemas.openxmlformats.org/officeDocument/2006/relationships/hyperlink" Target="https://docs.google.com/forms/d/e/1FAIpQLScy1d0mv9ANNAW795KX8ThSQ4uAiL0V1QEgBNvPC-AXVoL62w/viewform" TargetMode="External"/><Relationship Id="rId15" Type="http://schemas.openxmlformats.org/officeDocument/2006/relationships/hyperlink" Target="https://www.hp.com/us-en/sustainable-impact/digital-equity/digital-accelerator.html" TargetMode="External"/><Relationship Id="rId23" Type="http://schemas.openxmlformats.org/officeDocument/2006/relationships/hyperlink" Target="https://ec.europa.eu/info/funding-tenders/opportunities/portal/screen/opportunities/topic-details/ERASMUS-EDU-2026-POL-EXP-T02-DIGITAL-ETHICSAI?order=DESC&amp;pageNumber=1&amp;pageSize=50&amp;sortBy=relevance&amp;keywords=digital%20education%20in%20africa&amp;isExactMatch=true&amp;status=31094502" TargetMode="External"/><Relationship Id="rId28" Type="http://schemas.openxmlformats.org/officeDocument/2006/relationships/hyperlink" Target="https://www.modernatx.com/responsibility/moderna-foundation" TargetMode="External"/><Relationship Id="rId10" Type="http://schemas.openxmlformats.org/officeDocument/2006/relationships/hyperlink" Target="http://www.hiltonfundforsisters.org/grants/" TargetMode="External"/><Relationship Id="rId19" Type="http://schemas.openxmlformats.org/officeDocument/2006/relationships/hyperlink" Target="https://www.close-the-gap.org/apply-for-computers" TargetMode="External"/><Relationship Id="rId4" Type="http://schemas.openxmlformats.org/officeDocument/2006/relationships/hyperlink" Target="https://www.isocfoundation.org/" TargetMode="External"/><Relationship Id="rId9" Type="http://schemas.openxmlformats.org/officeDocument/2006/relationships/hyperlink" Target="https://www.mozillafoundation.org/en/" TargetMode="External"/><Relationship Id="rId14" Type="http://schemas.openxmlformats.org/officeDocument/2006/relationships/hyperlink" Target="https://www.dell.org/" TargetMode="External"/><Relationship Id="rId22" Type="http://schemas.openxmlformats.org/officeDocument/2006/relationships/hyperlink" Target="https://mitigation-action.org/call-for-projects-2026/?utm_source=chatgpt.com" TargetMode="External"/><Relationship Id="rId27" Type="http://schemas.openxmlformats.org/officeDocument/2006/relationships/hyperlink" Target="https://www.ajafoundation.org/about-u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afdb.org/en" TargetMode="External"/><Relationship Id="rId3" Type="http://schemas.openxmlformats.org/officeDocument/2006/relationships/hyperlink" Target="https://www.gatesfoundation.org/about/how-we-work/grant-opportunities" TargetMode="External"/><Relationship Id="rId7" Type="http://schemas.openxmlformats.org/officeDocument/2006/relationships/hyperlink" Target="https://au.int/en/digital-transformation" TargetMode="External"/><Relationship Id="rId2" Type="http://schemas.openxmlformats.org/officeDocument/2006/relationships/hyperlink" Target="https://www.acer.com/us-en/education" TargetMode="External"/><Relationship Id="rId1" Type="http://schemas.openxmlformats.org/officeDocument/2006/relationships/hyperlink" Target="https://www.gatesfoundation.org/" TargetMode="External"/><Relationship Id="rId6" Type="http://schemas.openxmlformats.org/officeDocument/2006/relationships/hyperlink" Target="https://grantsdatabase.org/2025/07/26/unido-unctad-global-call-for-inclusive-digital-economy-solutions-2025" TargetMode="External"/><Relationship Id="rId5" Type="http://schemas.openxmlformats.org/officeDocument/2006/relationships/hyperlink" Target="https://www.adobe.com/nonprofits.html" TargetMode="External"/><Relationship Id="rId10" Type="http://schemas.openxmlformats.org/officeDocument/2006/relationships/hyperlink" Target="https://www.ashoka.org/" TargetMode="External"/><Relationship Id="rId4" Type="http://schemas.openxmlformats.org/officeDocument/2006/relationships/hyperlink" Target="https://www.acer.com/us-en/about/csr" TargetMode="External"/><Relationship Id="rId9" Type="http://schemas.openxmlformats.org/officeDocument/2006/relationships/hyperlink" Target="https://www.addaxoryxfoundation.org/"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instrumentl.com/grants/gupta-family-foundation-grant" TargetMode="External"/><Relationship Id="rId18" Type="http://schemas.openxmlformats.org/officeDocument/2006/relationships/hyperlink" Target="https://www.instrumentl.com/grants/fawco-foundation-development-grants" TargetMode="External"/><Relationship Id="rId26" Type="http://schemas.openxmlformats.org/officeDocument/2006/relationships/hyperlink" Target="https://www.instrumentl.com/grants/global-learning-challenge" TargetMode="External"/><Relationship Id="rId3" Type="http://schemas.openxmlformats.org/officeDocument/2006/relationships/hyperlink" Target="https://www.ictworks.org/apply-now-150000-for-your-digital-transformation-solution/" TargetMode="External"/><Relationship Id="rId21" Type="http://schemas.openxmlformats.org/officeDocument/2006/relationships/hyperlink" Target="https://www.instrumentl.com/grants/roche-corporate-donations-and-philanthropy-cdp" TargetMode="External"/><Relationship Id="rId34" Type="http://schemas.openxmlformats.org/officeDocument/2006/relationships/hyperlink" Target="https://www.instrumentl.com/grants/macfarlane-foundation-grants" TargetMode="External"/><Relationship Id="rId7" Type="http://schemas.openxmlformats.org/officeDocument/2006/relationships/hyperlink" Target="https://www.instrumentl.com/grants/global-impact-grants" TargetMode="External"/><Relationship Id="rId12" Type="http://schemas.openxmlformats.org/officeDocument/2006/relationships/hyperlink" Target="https://www.instrumentl.com/grants/tomberg-brecher-charitable-funds-grant" TargetMode="External"/><Relationship Id="rId17" Type="http://schemas.openxmlformats.org/officeDocument/2006/relationships/hyperlink" Target="https://www.instrumentl.com/grants/dudley-t-dougherty-foundation-grant" TargetMode="External"/><Relationship Id="rId25" Type="http://schemas.openxmlformats.org/officeDocument/2006/relationships/hyperlink" Target="https://www.instrumentl.com/grants/tingari-silverton-foundation-grant" TargetMode="External"/><Relationship Id="rId33" Type="http://schemas.openxmlformats.org/officeDocument/2006/relationships/hyperlink" Target="https://www.instrumentl.com/grants/big-g-charitable-foundation-grant" TargetMode="External"/><Relationship Id="rId2" Type="http://schemas.openxmlformats.org/officeDocument/2006/relationships/hyperlink" Target="https://www.ictworks.org/unrestricted-funding-for-scaling-your-impact/" TargetMode="External"/><Relationship Id="rId16" Type="http://schemas.openxmlformats.org/officeDocument/2006/relationships/hyperlink" Target="https://www.instrumentl.com/grants/nextworldnow-community-investments" TargetMode="External"/><Relationship Id="rId20" Type="http://schemas.openxmlformats.org/officeDocument/2006/relationships/hyperlink" Target="https://www.instrumentl.com/grants/lemelson-foundation-grant-1" TargetMode="External"/><Relationship Id="rId29" Type="http://schemas.openxmlformats.org/officeDocument/2006/relationships/hyperlink" Target="https://www.instrumentl.com/grants/tutator-forward" TargetMode="External"/><Relationship Id="rId1" Type="http://schemas.openxmlformats.org/officeDocument/2006/relationships/hyperlink" Target="https://www.ictworks.org/apply-now-300000-for-early-stage-social-impact-organizations/" TargetMode="External"/><Relationship Id="rId6" Type="http://schemas.openxmlformats.org/officeDocument/2006/relationships/hyperlink" Target="https://www.instrumentl.com/grants/draper-richards-kaplan-foundation-grants" TargetMode="External"/><Relationship Id="rId11" Type="http://schemas.openxmlformats.org/officeDocument/2006/relationships/hyperlink" Target="https://www.instrumentl.com/grants/bess-spiva-timmons-foundation-grant-programme" TargetMode="External"/><Relationship Id="rId24" Type="http://schemas.openxmlformats.org/officeDocument/2006/relationships/hyperlink" Target="https://www.instrumentl.com/grants/sff-mission-aligned-grantmaking-seed-grants" TargetMode="External"/><Relationship Id="rId32" Type="http://schemas.openxmlformats.org/officeDocument/2006/relationships/hyperlink" Target="https://www.instrumentl.com/grants/global-d-prize-competition" TargetMode="External"/><Relationship Id="rId5" Type="http://schemas.openxmlformats.org/officeDocument/2006/relationships/hyperlink" Target="https://www.instrumentl.com/grants/creag-foundation-grant" TargetMode="External"/><Relationship Id="rId15" Type="http://schemas.openxmlformats.org/officeDocument/2006/relationships/hyperlink" Target="https://www.instrumentl.com/grants/dr-scholl-foundation-grants" TargetMode="External"/><Relationship Id="rId23" Type="http://schemas.openxmlformats.org/officeDocument/2006/relationships/hyperlink" Target="https://www.instrumentl.com/grants/sachs-family-foundation-grant" TargetMode="External"/><Relationship Id="rId28" Type="http://schemas.openxmlformats.org/officeDocument/2006/relationships/hyperlink" Target="https://www.instrumentl.com/grants/walnut-creek-rotary-club-district-grants" TargetMode="External"/><Relationship Id="rId10" Type="http://schemas.openxmlformats.org/officeDocument/2006/relationships/hyperlink" Target="https://www.instrumentl.com/grants/lawrence-foundation-grant" TargetMode="External"/><Relationship Id="rId19" Type="http://schemas.openxmlformats.org/officeDocument/2006/relationships/hyperlink" Target="https://www.instrumentl.com/grants/l-aiglon-foundation-special-interest-grants" TargetMode="External"/><Relationship Id="rId31" Type="http://schemas.openxmlformats.org/officeDocument/2006/relationships/hyperlink" Target="https://www.instrumentl.com/grants/100x-impact-accelerator-z667qob" TargetMode="External"/><Relationship Id="rId4" Type="http://schemas.openxmlformats.org/officeDocument/2006/relationships/hyperlink" Target="https://www.ictworks.org/digital-development-social-venture/" TargetMode="External"/><Relationship Id="rId9" Type="http://schemas.openxmlformats.org/officeDocument/2006/relationships/hyperlink" Target="https://www.instrumentl.com/grants/w-t-hansen-family-foundation-grant" TargetMode="External"/><Relationship Id="rId14" Type="http://schemas.openxmlformats.org/officeDocument/2006/relationships/hyperlink" Target="https://www.instrumentl.com/grants/global-fund-for-children-become-a-partner" TargetMode="External"/><Relationship Id="rId22" Type="http://schemas.openxmlformats.org/officeDocument/2006/relationships/hyperlink" Target="https://www.instrumentl.com/grants/peter-j-king-family-foundation-grant" TargetMode="External"/><Relationship Id="rId27" Type="http://schemas.openxmlformats.org/officeDocument/2006/relationships/hyperlink" Target="https://www.instrumentl.com/grants/the-fairways-foundation-grant" TargetMode="External"/><Relationship Id="rId30" Type="http://schemas.openxmlformats.org/officeDocument/2006/relationships/hyperlink" Target="https://www.instrumentl.com/grants/leave-your-mark-grant" TargetMode="External"/><Relationship Id="rId8" Type="http://schemas.openxmlformats.org/officeDocument/2006/relationships/hyperlink" Target="https://www.instrumentl.com/grants/google-ad-grants"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iatistandard.org/en/" TargetMode="External"/><Relationship Id="rId1" Type="http://schemas.openxmlformats.org/officeDocument/2006/relationships/hyperlink" Target="https://candid.org/"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eurodiaconia.org/?s=grants&amp;e_search_props=8bf8d03-76600" TargetMode="External"/><Relationship Id="rId3" Type="http://schemas.openxmlformats.org/officeDocument/2006/relationships/hyperlink" Target="https://candid.org/?_gl=1*exxidh*_gcl_au*MTI2NzM5OTYyMi4xNzU2ODc5OTk1*_ga*NTY5NDgwNzMwLjE3NTY4Nzk5OTc.*_ga_5W8PXYYGBX*czE3NTY4Nzk5OTYkbzEkZzAkdDE3NTY4Nzk5OTYkajYwJGwwJGgw" TargetMode="External"/><Relationship Id="rId7" Type="http://schemas.openxmlformats.org/officeDocument/2006/relationships/hyperlink" Target="https://grantsdatabase.org/" TargetMode="External"/><Relationship Id="rId2" Type="http://schemas.openxmlformats.org/officeDocument/2006/relationships/hyperlink" Target="https://www.instrumentl.com/" TargetMode="External"/><Relationship Id="rId1" Type="http://schemas.openxmlformats.org/officeDocument/2006/relationships/hyperlink" Target="https://www.fundsforngos.org/?utm_source=chatgpt.com" TargetMode="External"/><Relationship Id="rId6" Type="http://schemas.openxmlformats.org/officeDocument/2006/relationships/hyperlink" Target="https://commission.europa.eu/funding-tenders/how-apply/eligibility-who-can-get-funding_en" TargetMode="External"/><Relationship Id="rId11" Type="http://schemas.openxmlformats.org/officeDocument/2006/relationships/hyperlink" Target="https://myaccount.charityexcellence.co.uk/" TargetMode="External"/><Relationship Id="rId5" Type="http://schemas.openxmlformats.org/officeDocument/2006/relationships/hyperlink" Target="https://eufundingportal.eu/" TargetMode="External"/><Relationship Id="rId10" Type="http://schemas.openxmlformats.org/officeDocument/2006/relationships/hyperlink" Target="https://findgrant.ca/ProgramSearch" TargetMode="External"/><Relationship Id="rId4" Type="http://schemas.openxmlformats.org/officeDocument/2006/relationships/hyperlink" Target="https://www.grants.gov/" TargetMode="External"/><Relationship Id="rId9" Type="http://schemas.openxmlformats.org/officeDocument/2006/relationships/hyperlink" Target="https://grantstation.com/"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benandjerrysfoundation.org/national-grants/?utm_source=chatgpt.com" TargetMode="External"/><Relationship Id="rId21" Type="http://schemas.openxmlformats.org/officeDocument/2006/relationships/hyperlink" Target="https://ficc.qc.ca/en/ficc-services" TargetMode="External"/><Relationship Id="rId42" Type="http://schemas.openxmlformats.org/officeDocument/2006/relationships/hyperlink" Target="https://www.leica-oskar-barnack-award.com/en/" TargetMode="External"/><Relationship Id="rId47" Type="http://schemas.openxmlformats.org/officeDocument/2006/relationships/hyperlink" Target="https://fol.org/programs/small-grants/?utm_source=chatgpt.com" TargetMode="External"/><Relationship Id="rId63" Type="http://schemas.openxmlformats.org/officeDocument/2006/relationships/hyperlink" Target="https://www2.fundsforngos.org/children/grants-to-improve-child-outcomes-through-education-social-protection-and-child-protection-in-lower-juba-somalia/" TargetMode="External"/><Relationship Id="rId68" Type="http://schemas.openxmlformats.org/officeDocument/2006/relationships/hyperlink" Target="https://www2.fundsforngos.org/children/call-for-eois-advancing-education-protection-and-social-services-in-nugaal-somalia/" TargetMode="External"/><Relationship Id="rId84" Type="http://schemas.openxmlformats.org/officeDocument/2006/relationships/hyperlink" Target="https://www2.fundsforngos.org/education/entries-open-for-techgirls-program/" TargetMode="External"/><Relationship Id="rId89" Type="http://schemas.openxmlformats.org/officeDocument/2006/relationships/hyperlink" Target="https://www2.fundsforngos.org/education/cfas-promoting-social-and-cross-group-dialogue-and-exchange-project-taiwan/" TargetMode="External"/><Relationship Id="rId16" Type="http://schemas.openxmlformats.org/officeDocument/2006/relationships/hyperlink" Target="https://www.unglobalpulse.org/accelerator-cohort-4-applications/?utm_source=chatgpt.com" TargetMode="External"/><Relationship Id="rId11" Type="http://schemas.openxmlformats.org/officeDocument/2006/relationships/hyperlink" Target="https://thecivics.eu/projects/civic-innovation-fund/?utm_source=chatgpt.com" TargetMode="External"/><Relationship Id="rId32" Type="http://schemas.openxmlformats.org/officeDocument/2006/relationships/hyperlink" Target="https://www.nrf.go.ke/postgraduate-research-grants-nrf001-2026/?utm_source=chatgpt.com" TargetMode="External"/><Relationship Id="rId37" Type="http://schemas.openxmlformats.org/officeDocument/2006/relationships/hyperlink" Target="https://wellcome.org/research-funding/schemes/wellcome-early-career-awards?utm_source=chatgpt.com" TargetMode="External"/><Relationship Id="rId53" Type="http://schemas.openxmlformats.org/officeDocument/2006/relationships/hyperlink" Target="https://freelandsfoundation.co.uk/engage/apply/awards/freelands-awards-2026?utm_source=chatgpt.com" TargetMode="External"/><Relationship Id="rId58" Type="http://schemas.openxmlformats.org/officeDocument/2006/relationships/hyperlink" Target="https://www2.fundsforngos.org/community-development/ernest-kleinwort-charitable-trusts-medium-grant-program-uk/" TargetMode="External"/><Relationship Id="rId74" Type="http://schemas.openxmlformats.org/officeDocument/2006/relationships/hyperlink" Target="https://www2.fundsforngos.org/education/summer-study-of-the-u-s-institutes-for-secondary-educators/" TargetMode="External"/><Relationship Id="rId79" Type="http://schemas.openxmlformats.org/officeDocument/2006/relationships/hyperlink" Target="https://www2.fundsforngos.org/children/project-for-community-based-support-for-school-re-opening-in-central-eastern-and-southern-states-sudan/" TargetMode="External"/><Relationship Id="rId5" Type="http://schemas.openxmlformats.org/officeDocument/2006/relationships/hyperlink" Target="https://www.undp.org/kyrgyzstan/news/call-proposals-low-value-grant-projects?utm_source=chatgpt.com" TargetMode="External"/><Relationship Id="rId90" Type="http://schemas.openxmlformats.org/officeDocument/2006/relationships/hyperlink" Target="https://www2.fundsforngos.org/education/call-for-proposals-micro-grant-program-denmark/" TargetMode="External"/><Relationship Id="rId95" Type="http://schemas.openxmlformats.org/officeDocument/2006/relationships/hyperlink" Target="https://www.actionaid.org/" TargetMode="External"/><Relationship Id="rId22" Type="http://schemas.openxmlformats.org/officeDocument/2006/relationships/hyperlink" Target="https://tworidingscf.org.uk/fund/q-futures-fund" TargetMode="External"/><Relationship Id="rId27" Type="http://schemas.openxmlformats.org/officeDocument/2006/relationships/hyperlink" Target="https://daviescharity.org.uk/media/full-application-process.pdf?utm_source=chatgpt.com" TargetMode="External"/><Relationship Id="rId43" Type="http://schemas.openxmlformats.org/officeDocument/2006/relationships/hyperlink" Target="https://www.government.nl/topics/grant-programmes/femfocus-2026-2030?utm_source=chatgpt.com" TargetMode="External"/><Relationship Id="rId48" Type="http://schemas.openxmlformats.org/officeDocument/2006/relationships/hyperlink" Target="https://innovation.wfp.org/HIA?utm_source=chatgpt.com" TargetMode="External"/><Relationship Id="rId64" Type="http://schemas.openxmlformats.org/officeDocument/2006/relationships/hyperlink" Target="https://www2.fundsforngos.org/children/funding-available-to-improve-child-outcomes-in-lower-shabelle-somalia/" TargetMode="External"/><Relationship Id="rId69" Type="http://schemas.openxmlformats.org/officeDocument/2006/relationships/hyperlink" Target="https://www2.fundsforngos.org/children/call-for-eois-enhancing-education-and-protection-for-children-in-awdal-somalia/" TargetMode="External"/><Relationship Id="rId80" Type="http://schemas.openxmlformats.org/officeDocument/2006/relationships/hyperlink" Target="https://www2.fundsforngos.org/community-development/open-call-implement-school-feeding-and-agricultural-support-in-aweil-east-south-sudan/" TargetMode="External"/><Relationship Id="rId85" Type="http://schemas.openxmlformats.org/officeDocument/2006/relationships/hyperlink" Target="https://www2.fundsforngos.org/community-development/apply-for-mama-hope-localization-development-accelerator-program/" TargetMode="External"/><Relationship Id="rId3" Type="http://schemas.openxmlformats.org/officeDocument/2006/relationships/hyperlink" Target="https://www.opportunitiesforafricans.com/2027-world-habitat-awards/?utm_source=chatgpt.com" TargetMode="External"/><Relationship Id="rId12" Type="http://schemas.openxmlformats.org/officeDocument/2006/relationships/hyperlink" Target="https://www.zm.emb-japan.go.jp/itpr_ja/11_000001_00488.html?utm_source=chatgpt.com" TargetMode="External"/><Relationship Id="rId17" Type="http://schemas.openxmlformats.org/officeDocument/2006/relationships/hyperlink" Target="https://www.opportunitiesforafricans.com/unicef-startup-lab-accelerator-programme-2026/?utm_source=chatgpt.com" TargetMode="External"/><Relationship Id="rId25" Type="http://schemas.openxmlformats.org/officeDocument/2006/relationships/hyperlink" Target="https://qcoalfoundation.org/our-initiatives/community-grant-program/?utm_source=chatgpt.com" TargetMode="External"/><Relationship Id="rId33" Type="http://schemas.openxmlformats.org/officeDocument/2006/relationships/hyperlink" Target="https://www.ardf-online.org/ardf-grants.html?utm_source=chatgpt.com" TargetMode="External"/><Relationship Id="rId38" Type="http://schemas.openxmlformats.org/officeDocument/2006/relationships/hyperlink" Target="https://www.tonyelumelufoundation.org/press-releases/apply-tef-entrepreneurship-programme-2026?utm_source=chatgpt.com" TargetMode="External"/><Relationship Id="rId46" Type="http://schemas.openxmlformats.org/officeDocument/2006/relationships/hyperlink" Target="https://southafrica.diplo.de/sa-en/04-news/2738342-2738342?utm_source=chatgpt.com" TargetMode="External"/><Relationship Id="rId59" Type="http://schemas.openxmlformats.org/officeDocument/2006/relationships/hyperlink" Target="https://www2.fundsforngos.org/children/cfps-enhancing-education-protection-and-social-services-for-children-in-hiiraan-somalia/" TargetMode="External"/><Relationship Id="rId67" Type="http://schemas.openxmlformats.org/officeDocument/2006/relationships/hyperlink" Target="https://www2.fundsforngos.org/children/rfas-education-protection-and-social-support-for-children-in-mudug-somalia/" TargetMode="External"/><Relationship Id="rId20" Type="http://schemas.openxmlformats.org/officeDocument/2006/relationships/hyperlink" Target="https://grantsdatabase.org/2026/01/26/civichive-civictech-fellowship-program-2026" TargetMode="External"/><Relationship Id="rId41" Type="http://schemas.openxmlformats.org/officeDocument/2006/relationships/hyperlink" Target="https://www.adeanet.org/en/call-applications/2026-rebecca-rhodes-african-inclusive-literacy-research-grant" TargetMode="External"/><Relationship Id="rId54" Type="http://schemas.openxmlformats.org/officeDocument/2006/relationships/hyperlink" Target="https://petapixel.com/2026/01/26/leicas-new-loba-women-grant-supports-more-female-photographers/" TargetMode="External"/><Relationship Id="rId62" Type="http://schemas.openxmlformats.org/officeDocument/2006/relationships/hyperlink" Target="https://www2.fundsforngos.org/children/apply-now-education-for-all-south-sudan-programme/" TargetMode="External"/><Relationship Id="rId70" Type="http://schemas.openxmlformats.org/officeDocument/2006/relationships/hyperlink" Target="https://www2.fundsforngos.org/children/request-for-applications-improving-outcomes-for-children-in-bari-somalia/" TargetMode="External"/><Relationship Id="rId75" Type="http://schemas.openxmlformats.org/officeDocument/2006/relationships/hyperlink" Target="https://www2.fundsforngos.org/education/call-for-applications-onassis-foundation-scholarships-greece/" TargetMode="External"/><Relationship Id="rId83" Type="http://schemas.openxmlformats.org/officeDocument/2006/relationships/hyperlink" Target="https://www2.fundsforngos.org/education/call-for-proposals-tvet-in-the-energy-and-water-sectors-in-mozambique/" TargetMode="External"/><Relationship Id="rId88" Type="http://schemas.openxmlformats.org/officeDocument/2006/relationships/hyperlink" Target="https://www2.fundsforngos.org/children/rfas-nutrition-and-school-feeding-activities-in-uns-renk-county-south-sudan/" TargetMode="External"/><Relationship Id="rId91" Type="http://schemas.openxmlformats.org/officeDocument/2006/relationships/hyperlink" Target="https://www.abbottfund.org/" TargetMode="External"/><Relationship Id="rId96" Type="http://schemas.openxmlformats.org/officeDocument/2006/relationships/hyperlink" Target="https://www.advance-africa.com/" TargetMode="External"/><Relationship Id="rId1" Type="http://schemas.openxmlformats.org/officeDocument/2006/relationships/hyperlink" Target="https://opportunitiesforyouth.org/2026/01/23/erasmus-call-for-proposals-2026-opens-e4-47-billion-funding-for-education-youth-training-and-sport/?utm_source=chatgpt.com" TargetMode="External"/><Relationship Id="rId6" Type="http://schemas.openxmlformats.org/officeDocument/2006/relationships/hyperlink" Target="https://ba.jpf.go.jp/en/grants/jfbkk-small-grant-proram-en/?utm_source=chatgpt.com" TargetMode="External"/><Relationship Id="rId15" Type="http://schemas.openxmlformats.org/officeDocument/2006/relationships/hyperlink" Target="https://www.wipo.int/en/web/awards/global?utm_source=chatgpt.com" TargetMode="External"/><Relationship Id="rId23" Type="http://schemas.openxmlformats.org/officeDocument/2006/relationships/hyperlink" Target="https://www.scotborders.gov.uk/community-grants-funding" TargetMode="External"/><Relationship Id="rId28" Type="http://schemas.openxmlformats.org/officeDocument/2006/relationships/hyperlink" Target="https://leica-camera.com/en-int/awards/loba-women-grant?srsltid=AfmBOorNqzxZ92PjYE-6DItYHicJ35a1LkxxvPpcC57u3pNZK9AQAj8v&amp;utm_source=chatgpt.com" TargetMode="External"/><Relationship Id="rId36" Type="http://schemas.openxmlformats.org/officeDocument/2006/relationships/hyperlink" Target="https://cbid.bme.jhu.edu/news-events/design-competition/?utm_source=chatgpt.com" TargetMode="External"/><Relationship Id="rId49" Type="http://schemas.openxmlformats.org/officeDocument/2006/relationships/hyperlink" Target="https://rotary9930.org/60075/Page/Show?ClassCode=Page&amp;Slug=rotary-foundation-district-grants-how-to-apply&amp;utm_source=chatgpt.com" TargetMode="External"/><Relationship Id="rId57" Type="http://schemas.openxmlformats.org/officeDocument/2006/relationships/hyperlink" Target="https://www2.fundsforngos.org/community-development/call-for-eois-complementary-pathways-for-refugees-ethiopia/" TargetMode="External"/><Relationship Id="rId10" Type="http://schemas.openxmlformats.org/officeDocument/2006/relationships/hyperlink" Target="https://www2.fundsforngos.org/community-development/aboutasia-impact-grant-for-community-led-development/?utm_source=chatgpt.com" TargetMode="External"/><Relationship Id="rId31" Type="http://schemas.openxmlformats.org/officeDocument/2006/relationships/hyperlink" Target="https://locallink.childhub.org/en/child-protection-vacancies-jobs-positions/environmental-grants-ngos-west-africa?utm_source=chatgpt.com" TargetMode="External"/><Relationship Id="rId44" Type="http://schemas.openxmlformats.org/officeDocument/2006/relationships/hyperlink" Target="https://media-development.comminit.com/content/african-womens-development-fund-main-grants-program?utm_source=chatgpt.com" TargetMode="External"/><Relationship Id="rId52" Type="http://schemas.openxmlformats.org/officeDocument/2006/relationships/hyperlink" Target="https://www.cepf.net/grants" TargetMode="External"/><Relationship Id="rId60" Type="http://schemas.openxmlformats.org/officeDocument/2006/relationships/hyperlink" Target="https://www2.fundsforngos.org/children/funding-available-to-improve-child-outcomes-in-woqooyi-galbeed-somalia/" TargetMode="External"/><Relationship Id="rId65" Type="http://schemas.openxmlformats.org/officeDocument/2006/relationships/hyperlink" Target="https://www2.fundsforngos.org/children/call-for-eois-improve-child-outcomes-in-middle-juba-somalia/" TargetMode="External"/><Relationship Id="rId73" Type="http://schemas.openxmlformats.org/officeDocument/2006/relationships/hyperlink" Target="https://www2.fundsforngos.org/community-development/call-for-funding-working-groups-programme-south-africa/" TargetMode="External"/><Relationship Id="rId78" Type="http://schemas.openxmlformats.org/officeDocument/2006/relationships/hyperlink" Target="https://www2.fundsforngos.org/economic-development/funding-available-for-strengthening-civil-society-organizations-in-burundi/" TargetMode="External"/><Relationship Id="rId81" Type="http://schemas.openxmlformats.org/officeDocument/2006/relationships/hyperlink" Target="https://www2.fundsforngos.org/community-development/apply-for-leading-minds-fellowship-on-climate-education/" TargetMode="External"/><Relationship Id="rId86" Type="http://schemas.openxmlformats.org/officeDocument/2006/relationships/hyperlink" Target="https://www2.fundsforngos.org/community-development/call-for-proposals-to-provide-for-gender-action-learning-system-methodology-and-roll-out-south-sudan/" TargetMode="External"/><Relationship Id="rId94" Type="http://schemas.openxmlformats.org/officeDocument/2006/relationships/hyperlink" Target="https://www.accenture.com/za-en/about/corporate-citizenship/skills-succeed-south-africa" TargetMode="External"/><Relationship Id="rId99" Type="http://schemas.openxmlformats.org/officeDocument/2006/relationships/hyperlink" Target="https://nationalmainstreetcenter.submittable.com/submit/345214/t-mobile-hometown-grant-application-q1-2026-january-5-march-31-2026" TargetMode="External"/><Relationship Id="rId4" Type="http://schemas.openxmlformats.org/officeDocument/2006/relationships/hyperlink" Target="https://turkiye.unfpa.org/en/submission/call-proposals-civil-society?utm_source=chatgpt.com" TargetMode="External"/><Relationship Id="rId9" Type="http://schemas.openxmlformats.org/officeDocument/2006/relationships/hyperlink" Target="https://www2.fundsforngos.org/community-development/community-grants-fund-supporting-not-for-profit-projects-united-kingdom/amp/?utm_source=chatgpt.com" TargetMode="External"/><Relationship Id="rId13" Type="http://schemas.openxmlformats.org/officeDocument/2006/relationships/hyperlink" Target="https://www.fao.org/fao-awards/innovation/about/en?utm_source=chatgpt.com" TargetMode="External"/><Relationship Id="rId18" Type="http://schemas.openxmlformats.org/officeDocument/2006/relationships/hyperlink" Target="https://www.iwmf.org/awards/anja-niedringhaus-courage-in-photojournalism-award/?utm_source=chatgpt.com" TargetMode="External"/><Relationship Id="rId39" Type="http://schemas.openxmlformats.org/officeDocument/2006/relationships/hyperlink" Target="https://novonordiskfonden.dk/en/grant/female-heart-clinical-research-grants/?utm_source=chatgpt.com" TargetMode="External"/><Relationship Id="rId34" Type="http://schemas.openxmlformats.org/officeDocument/2006/relationships/hyperlink" Target="https://erasmus-plus.ec.europa.eu/programme-guide/part-b/key-action-1/virtual-exchanges?utm_source=chatgpt.com" TargetMode="External"/><Relationship Id="rId50" Type="http://schemas.openxmlformats.org/officeDocument/2006/relationships/hyperlink" Target="https://environmentalmigration.iom.int/accelerating-youth-led-action-addressing-climate-mobility-africa-call-grant-application-and-selection-criteria?utm_source=chatgpt.com" TargetMode="External"/><Relationship Id="rId55" Type="http://schemas.openxmlformats.org/officeDocument/2006/relationships/hyperlink" Target="https://www2.fundsforngos.org/community-development/black-impact-web-grant-building-digital-power-for-black-led-organizations/" TargetMode="External"/><Relationship Id="rId76" Type="http://schemas.openxmlformats.org/officeDocument/2006/relationships/hyperlink" Target="https://www2.fundsforngos.org/education/3rd-open-call-of-i4a-access-grant-program/" TargetMode="External"/><Relationship Id="rId97" Type="http://schemas.openxmlformats.org/officeDocument/2006/relationships/hyperlink" Target="https://www.advance-africa.com/" TargetMode="External"/><Relationship Id="rId7" Type="http://schemas.openxmlformats.org/officeDocument/2006/relationships/hyperlink" Target="https://www2.fundsforngos.org/education/entries-open-for-education-innovation-awards-2026/amp/?utm_source=chatgpt.com" TargetMode="External"/><Relationship Id="rId71" Type="http://schemas.openxmlformats.org/officeDocument/2006/relationships/hyperlink" Target="https://www2.fundsforngos.org/children/funding-available-for-improving-child-outcomes-in-galgaduud-region-somalia/" TargetMode="External"/><Relationship Id="rId92" Type="http://schemas.openxmlformats.org/officeDocument/2006/relationships/hyperlink" Target="https://abilisfoundation.org/" TargetMode="External"/><Relationship Id="rId2" Type="http://schemas.openxmlformats.org/officeDocument/2006/relationships/hyperlink" Target="https://www.icfj.org/our-work/burns?utm_source=chatgpt.com" TargetMode="External"/><Relationship Id="rId29" Type="http://schemas.openxmlformats.org/officeDocument/2006/relationships/hyperlink" Target="https://www.cepf.net/grants/how-to-apply?utm_source=chatgpt.com" TargetMode="External"/><Relationship Id="rId24" Type="http://schemas.openxmlformats.org/officeDocument/2006/relationships/hyperlink" Target="https://www2.fundsforngos.org/children/rfps-latvian-literature-grant-program-for-translators/?utm_source=chatgpt.com" TargetMode="External"/><Relationship Id="rId40" Type="http://schemas.openxmlformats.org/officeDocument/2006/relationships/hyperlink" Target="https://www.toronto.ca/services-payments/grants-incentives-rebates/circular-food-innovators-fund/?utm_source=chatgpt.com" TargetMode="External"/><Relationship Id="rId45" Type="http://schemas.openxmlformats.org/officeDocument/2006/relationships/hyperlink" Target="https://wphfund.org/call-for-proposals-women-have-wings-award/?utm_source=chatgpt.com" TargetMode="External"/><Relationship Id="rId66" Type="http://schemas.openxmlformats.org/officeDocument/2006/relationships/hyperlink" Target="https://www2.fundsforngos.org/children/apply-now-education-for-all-south-sudan-programme/" TargetMode="External"/><Relationship Id="rId87" Type="http://schemas.openxmlformats.org/officeDocument/2006/relationships/hyperlink" Target="https://www2.fundsforngos.org/children/open-call-for-school-feeding-and-nutrition-program-in-warrap-state-south-sudan/" TargetMode="External"/><Relationship Id="rId61" Type="http://schemas.openxmlformats.org/officeDocument/2006/relationships/hyperlink" Target="https://www2.fundsforngos.org/children/call-for-applications-improving-child-outcomes-in-gedo-somalia/" TargetMode="External"/><Relationship Id="rId82" Type="http://schemas.openxmlformats.org/officeDocument/2006/relationships/hyperlink" Target="https://www2.fundsforngos.org/education/rfas-wells-mountain-initiative-scholars-program/" TargetMode="External"/><Relationship Id="rId19" Type="http://schemas.openxmlformats.org/officeDocument/2006/relationships/hyperlink" Target="https://www.crawfordfund.org/" TargetMode="External"/><Relationship Id="rId14" Type="http://schemas.openxmlformats.org/officeDocument/2006/relationships/hyperlink" Target="https://www.unesco.org/creativity/en/articles/call-projects-unesco-aschberg-programme-artists-and-cultural-professionals-0?utm_source=chatgpt.com" TargetMode="External"/><Relationship Id="rId30" Type="http://schemas.openxmlformats.org/officeDocument/2006/relationships/hyperlink" Target="https://www.idealist.org/en/nonprofit/45c2bc85b01949d19cfe111d2392262e-the-match-international-womens-fund-ottawa?utm_source=chatgpt.com" TargetMode="External"/><Relationship Id="rId35" Type="http://schemas.openxmlformats.org/officeDocument/2006/relationships/hyperlink" Target="https://gulbenkian.pt/en/apoios-lista/artistic-creation-grants/?utm_source=chatgpt.com" TargetMode="External"/><Relationship Id="rId56" Type="http://schemas.openxmlformats.org/officeDocument/2006/relationships/hyperlink" Target="https://www2.fundsforngos.org/education/open-call-knowledge-transfer-grants-to-strengthen-sustainable-food-systems/" TargetMode="External"/><Relationship Id="rId77" Type="http://schemas.openxmlformats.org/officeDocument/2006/relationships/hyperlink" Target="https://www2.fundsforngos.org/children/open-call-for-advancing-adolescent-girls-empowerment-in-fragile-and-conflict-settings-us/" TargetMode="External"/><Relationship Id="rId8" Type="http://schemas.openxmlformats.org/officeDocument/2006/relationships/hyperlink" Target="https://www.almadadfoundation.org/spring-grant-call-2026?utm_source=chatgpt.com" TargetMode="External"/><Relationship Id="rId51" Type="http://schemas.openxmlformats.org/officeDocument/2006/relationships/hyperlink" Target="https://nasf.nl/informatie/international-asp2026/?utm_source=chatgpt.com" TargetMode="External"/><Relationship Id="rId72" Type="http://schemas.openxmlformats.org/officeDocument/2006/relationships/hyperlink" Target="https://www2.fundsforngos.org/children/call-for-eois-improving-child-outcomes-through-education-and-protection-in-middle-shabelle-somalia/" TargetMode="External"/><Relationship Id="rId93" Type="http://schemas.openxmlformats.org/officeDocument/2006/relationships/hyperlink" Target="https://www.accenture.com/lk-en/about/company/accenture-development-partnerships-index" TargetMode="External"/><Relationship Id="rId98" Type="http://schemas.openxmlformats.org/officeDocument/2006/relationships/hyperlink" Target="https://africanofilter.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E6DF7-94A1-4096-9969-E999789CA625}">
  <sheetPr>
    <tabColor rgb="FF00B0F0"/>
  </sheetPr>
  <dimension ref="A1:D20"/>
  <sheetViews>
    <sheetView workbookViewId="0">
      <selection activeCell="A4" sqref="A4:C4"/>
    </sheetView>
  </sheetViews>
  <sheetFormatPr defaultRowHeight="15"/>
  <cols>
    <col min="1" max="1" width="45.5703125" style="97" customWidth="1"/>
    <col min="2" max="2" width="10.85546875" customWidth="1"/>
  </cols>
  <sheetData>
    <row r="1" spans="1:4">
      <c r="B1" s="97" t="s">
        <v>0</v>
      </c>
      <c r="C1" s="97" t="s">
        <v>1</v>
      </c>
    </row>
    <row r="2" spans="1:4">
      <c r="A2" s="97" t="s">
        <v>2</v>
      </c>
      <c r="B2">
        <f>COUNTA(Submitted!A2:A1000) + COUNTA(Grants!A2:A992) + COUNTA('From Automation'!A2:A1000) + COUNTA('Not relevant-not qualified'!A2:A998)</f>
        <v>491</v>
      </c>
      <c r="C2" s="96">
        <v>1</v>
      </c>
    </row>
    <row r="3" spans="1:4">
      <c r="A3" s="97" t="s">
        <v>3</v>
      </c>
      <c r="B3">
        <f>COUNTA(Submitted!A2:A1001) + COUNTA('Not relevant-not qualified'!A2:A999) + 8</f>
        <v>136</v>
      </c>
      <c r="C3" s="96">
        <f>B3/B2</f>
        <v>0.27698574338085541</v>
      </c>
    </row>
    <row r="4" spans="1:4">
      <c r="A4" s="121" t="s">
        <v>4</v>
      </c>
      <c r="B4" s="122">
        <f>COUNTA('Not relevant-not qualified'!A2:A996)</f>
        <v>101</v>
      </c>
      <c r="C4" s="123">
        <f>(B4/B3)</f>
        <v>0.74264705882352944</v>
      </c>
    </row>
    <row r="5" spans="1:4">
      <c r="A5" s="102" t="s">
        <v>5</v>
      </c>
      <c r="B5">
        <f>COUNTA('Not relevant-not qualified'!A2:A998) + COUNTA(Submitted!A2:A1000)</f>
        <v>128</v>
      </c>
      <c r="C5" s="96">
        <f>B5/B2</f>
        <v>0.26069246435845211</v>
      </c>
    </row>
    <row r="6" spans="1:4">
      <c r="A6" s="98" t="s">
        <v>6</v>
      </c>
      <c r="B6" s="97">
        <f>COUNTA(Submitted!A2:A74)</f>
        <v>27</v>
      </c>
      <c r="C6" s="103">
        <f>B6/B5</f>
        <v>0.2109375</v>
      </c>
      <c r="D6" t="s">
        <v>7</v>
      </c>
    </row>
    <row r="10" spans="1:4">
      <c r="A10" t="s">
        <v>8</v>
      </c>
    </row>
    <row r="11" spans="1:4">
      <c r="A11" t="s">
        <v>9</v>
      </c>
    </row>
    <row r="20" ht="15" customHeight="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A6B5B-FA99-450E-8E12-6A91C90D56FB}">
  <dimension ref="A1:AA29"/>
  <sheetViews>
    <sheetView tabSelected="1" workbookViewId="0">
      <pane ySplit="1" topLeftCell="A15" activePane="bottomLeft" state="frozen"/>
      <selection pane="bottomLeft" activeCell="Q29" sqref="Q29"/>
    </sheetView>
  </sheetViews>
  <sheetFormatPr defaultColWidth="9" defaultRowHeight="13.5" customHeight="1"/>
  <cols>
    <col min="1" max="1" width="35.7109375" style="16" customWidth="1"/>
    <col min="2" max="2" width="37.85546875" style="17" customWidth="1"/>
    <col min="3" max="3" width="29.28515625" style="17" customWidth="1"/>
    <col min="4" max="4" width="23.28515625" style="17" customWidth="1"/>
    <col min="5" max="5" width="16" style="17" bestFit="1" customWidth="1"/>
    <col min="6" max="6" width="16.140625" style="17" customWidth="1"/>
    <col min="7" max="7" width="43.42578125" style="17" customWidth="1"/>
    <col min="8" max="8" width="16.28515625" style="17" bestFit="1" customWidth="1"/>
    <col min="9" max="9" width="101" style="21" bestFit="1" customWidth="1"/>
    <col min="10" max="10" width="33.7109375" style="21" bestFit="1" customWidth="1"/>
    <col min="11" max="16384" width="9" style="21"/>
  </cols>
  <sheetData>
    <row r="1" spans="1:27" s="47" customFormat="1" ht="37.5">
      <c r="A1" s="45" t="s">
        <v>10</v>
      </c>
      <c r="B1" s="45" t="s">
        <v>11</v>
      </c>
      <c r="C1" s="45" t="s">
        <v>12</v>
      </c>
      <c r="D1" s="45" t="s">
        <v>13</v>
      </c>
      <c r="E1" s="45" t="s">
        <v>14</v>
      </c>
      <c r="F1" s="45" t="s">
        <v>15</v>
      </c>
      <c r="G1" s="45" t="s">
        <v>16</v>
      </c>
      <c r="H1" s="45" t="s">
        <v>17</v>
      </c>
      <c r="I1" s="46" t="s">
        <v>18</v>
      </c>
    </row>
    <row r="2" spans="1:27" s="18" customFormat="1" ht="31.5">
      <c r="A2" s="16" t="s">
        <v>19</v>
      </c>
      <c r="B2" s="17">
        <f>COUNTA(Submitted!A2:A104)</f>
        <v>27</v>
      </c>
      <c r="C2" s="28" t="s">
        <v>20</v>
      </c>
      <c r="D2" s="17">
        <v>250000</v>
      </c>
      <c r="E2" s="17" t="s">
        <v>21</v>
      </c>
      <c r="F2" s="17"/>
      <c r="G2" s="17" t="s">
        <v>22</v>
      </c>
      <c r="H2" s="19" t="s">
        <v>23</v>
      </c>
      <c r="I2" s="17" t="s">
        <v>24</v>
      </c>
      <c r="J2" s="20"/>
      <c r="K2" s="21"/>
      <c r="L2" s="21"/>
      <c r="M2" s="21"/>
      <c r="N2" s="21"/>
      <c r="O2" s="21"/>
      <c r="P2" s="21"/>
      <c r="Q2" s="21"/>
      <c r="R2" s="21"/>
      <c r="S2" s="21"/>
      <c r="T2" s="21"/>
      <c r="U2" s="21"/>
      <c r="V2" s="21"/>
      <c r="W2" s="21"/>
      <c r="X2" s="21"/>
      <c r="Y2" s="21"/>
      <c r="Z2" s="21"/>
      <c r="AA2" s="21"/>
    </row>
    <row r="3" spans="1:27" ht="63">
      <c r="A3" s="16" t="s">
        <v>25</v>
      </c>
      <c r="B3" s="17" t="s">
        <v>26</v>
      </c>
      <c r="C3" s="34" t="s">
        <v>27</v>
      </c>
      <c r="D3" s="17" t="s">
        <v>28</v>
      </c>
      <c r="E3" s="17" t="s">
        <v>29</v>
      </c>
      <c r="F3" s="17" t="s">
        <v>30</v>
      </c>
      <c r="G3" s="17" t="s">
        <v>31</v>
      </c>
      <c r="H3" s="19">
        <v>46266</v>
      </c>
      <c r="J3" s="20" t="s">
        <v>32</v>
      </c>
    </row>
    <row r="4" spans="1:27" ht="94.5">
      <c r="A4" s="16" t="s">
        <v>33</v>
      </c>
      <c r="B4" s="17" t="s">
        <v>34</v>
      </c>
      <c r="C4" s="35" t="s">
        <v>35</v>
      </c>
      <c r="D4" s="22" t="s">
        <v>36</v>
      </c>
      <c r="E4" s="17" t="s">
        <v>37</v>
      </c>
      <c r="F4" s="17" t="s">
        <v>38</v>
      </c>
      <c r="G4" s="17" t="s">
        <v>39</v>
      </c>
      <c r="H4" s="19">
        <v>46031</v>
      </c>
    </row>
    <row r="5" spans="1:27" ht="141.75">
      <c r="A5" s="16" t="s">
        <v>40</v>
      </c>
      <c r="B5" s="17" t="s">
        <v>41</v>
      </c>
      <c r="C5" s="35" t="s">
        <v>42</v>
      </c>
      <c r="D5" s="22" t="s">
        <v>43</v>
      </c>
      <c r="E5" s="17" t="s">
        <v>37</v>
      </c>
      <c r="F5" s="21"/>
      <c r="G5" s="21"/>
      <c r="H5" s="19">
        <v>46032</v>
      </c>
    </row>
    <row r="6" spans="1:27" ht="78.75">
      <c r="A6" s="16" t="s">
        <v>44</v>
      </c>
      <c r="B6" s="17" t="s">
        <v>45</v>
      </c>
      <c r="C6" s="35" t="s">
        <v>46</v>
      </c>
      <c r="D6" s="23">
        <v>5000</v>
      </c>
      <c r="E6" s="17" t="s">
        <v>37</v>
      </c>
      <c r="F6" s="17" t="s">
        <v>47</v>
      </c>
      <c r="G6" s="17" t="s">
        <v>48</v>
      </c>
      <c r="H6" s="19">
        <v>46296</v>
      </c>
    </row>
    <row r="7" spans="1:27" ht="94.5">
      <c r="A7" s="16" t="s">
        <v>49</v>
      </c>
      <c r="B7" s="17" t="s">
        <v>50</v>
      </c>
      <c r="C7" s="24" t="s">
        <v>51</v>
      </c>
      <c r="D7" s="23">
        <v>100000</v>
      </c>
      <c r="E7" s="17" t="s">
        <v>52</v>
      </c>
      <c r="F7" s="17" t="s">
        <v>53</v>
      </c>
      <c r="G7" s="17" t="s">
        <v>54</v>
      </c>
      <c r="H7" s="19">
        <v>46296</v>
      </c>
    </row>
    <row r="8" spans="1:27" ht="31.5">
      <c r="A8" s="16" t="s">
        <v>55</v>
      </c>
      <c r="C8" s="24" t="s">
        <v>56</v>
      </c>
      <c r="D8" s="23">
        <v>50000</v>
      </c>
      <c r="G8" s="17" t="s">
        <v>57</v>
      </c>
      <c r="H8" s="19">
        <v>46296</v>
      </c>
    </row>
    <row r="9" spans="1:27" ht="78.75">
      <c r="A9" s="16" t="s">
        <v>58</v>
      </c>
      <c r="B9" s="17" t="s">
        <v>59</v>
      </c>
      <c r="C9" s="24" t="s">
        <v>60</v>
      </c>
      <c r="D9" s="23">
        <v>50000</v>
      </c>
      <c r="E9" s="17" t="s">
        <v>61</v>
      </c>
      <c r="F9" s="17" t="s">
        <v>62</v>
      </c>
      <c r="G9" s="17" t="s">
        <v>63</v>
      </c>
      <c r="H9" s="19">
        <v>46357</v>
      </c>
      <c r="I9" s="33" t="s">
        <v>64</v>
      </c>
    </row>
    <row r="10" spans="1:27" ht="63">
      <c r="A10" s="16" t="s">
        <v>65</v>
      </c>
      <c r="B10" s="17" t="s">
        <v>66</v>
      </c>
      <c r="C10" s="24" t="s">
        <v>67</v>
      </c>
      <c r="D10" s="23">
        <v>70000</v>
      </c>
      <c r="G10" s="17" t="s">
        <v>68</v>
      </c>
      <c r="H10" s="19">
        <v>46357</v>
      </c>
    </row>
    <row r="11" spans="1:27" ht="126">
      <c r="A11" s="16" t="s">
        <v>69</v>
      </c>
      <c r="B11" s="17" t="s">
        <v>70</v>
      </c>
      <c r="C11" s="24" t="s">
        <v>71</v>
      </c>
      <c r="D11" s="23">
        <v>20000</v>
      </c>
      <c r="E11" s="17" t="s">
        <v>37</v>
      </c>
      <c r="G11" s="17" t="s">
        <v>72</v>
      </c>
      <c r="H11" s="19">
        <v>46357</v>
      </c>
    </row>
    <row r="12" spans="1:27" ht="31.5">
      <c r="A12" s="25" t="s">
        <v>73</v>
      </c>
      <c r="B12" s="21" t="s">
        <v>74</v>
      </c>
      <c r="C12" s="26" t="s">
        <v>75</v>
      </c>
      <c r="D12" s="27" t="s">
        <v>76</v>
      </c>
      <c r="E12" s="17" t="s">
        <v>77</v>
      </c>
      <c r="F12" s="28" t="s">
        <v>78</v>
      </c>
      <c r="G12" s="21"/>
      <c r="H12" s="21" t="s">
        <v>79</v>
      </c>
      <c r="I12" s="21" t="s">
        <v>80</v>
      </c>
    </row>
    <row r="13" spans="1:27" ht="13.5" customHeight="1">
      <c r="A13" s="29" t="s">
        <v>81</v>
      </c>
      <c r="B13" s="30"/>
      <c r="C13" s="24" t="s">
        <v>82</v>
      </c>
      <c r="D13" s="31">
        <v>100000</v>
      </c>
      <c r="E13" s="30" t="s">
        <v>83</v>
      </c>
      <c r="F13" s="19">
        <v>46357</v>
      </c>
      <c r="H13" s="17" t="s">
        <v>84</v>
      </c>
    </row>
    <row r="14" spans="1:27" ht="13.5" customHeight="1">
      <c r="A14" s="29" t="s">
        <v>85</v>
      </c>
      <c r="B14" s="30" t="s">
        <v>86</v>
      </c>
      <c r="C14" s="24" t="s">
        <v>87</v>
      </c>
      <c r="E14" s="32">
        <v>46069</v>
      </c>
      <c r="F14" s="30" t="s">
        <v>37</v>
      </c>
      <c r="G14" s="30" t="s">
        <v>88</v>
      </c>
      <c r="H14" s="21" t="s">
        <v>89</v>
      </c>
      <c r="I14" s="21" t="s">
        <v>90</v>
      </c>
    </row>
    <row r="15" spans="1:27" s="28" customFormat="1" ht="49.5" customHeight="1">
      <c r="A15" s="25" t="s">
        <v>91</v>
      </c>
      <c r="B15" s="1"/>
      <c r="C15" s="15" t="s">
        <v>92</v>
      </c>
      <c r="D15" s="1"/>
      <c r="E15" s="1"/>
      <c r="F15" s="1" t="s">
        <v>93</v>
      </c>
      <c r="G15" s="1"/>
      <c r="H15" s="1" t="s">
        <v>89</v>
      </c>
      <c r="I15" s="33" t="s">
        <v>94</v>
      </c>
      <c r="J15" s="1"/>
      <c r="L15" s="1"/>
      <c r="M15" s="1"/>
      <c r="N15" s="1"/>
      <c r="O15" s="1"/>
      <c r="P15" s="1"/>
      <c r="Q15" s="1"/>
      <c r="R15" s="1"/>
      <c r="S15" s="1"/>
      <c r="T15" s="1"/>
      <c r="U15" s="1"/>
      <c r="V15" s="1"/>
      <c r="W15" s="1"/>
      <c r="X15" s="1"/>
      <c r="Y15" s="1"/>
      <c r="Z15" s="1"/>
      <c r="AA15" s="1"/>
    </row>
    <row r="16" spans="1:27" ht="13.5" customHeight="1">
      <c r="A16" s="42" t="s">
        <v>95</v>
      </c>
      <c r="B16" s="36" t="s">
        <v>96</v>
      </c>
      <c r="C16" s="37" t="s">
        <v>97</v>
      </c>
      <c r="D16" s="38">
        <v>50000</v>
      </c>
      <c r="E16" s="17" t="s">
        <v>98</v>
      </c>
      <c r="F16" s="39" t="s">
        <v>99</v>
      </c>
      <c r="G16" s="36" t="s">
        <v>100</v>
      </c>
      <c r="H16" s="36" t="s">
        <v>89</v>
      </c>
      <c r="I16" s="36"/>
      <c r="J16" s="36"/>
      <c r="K16" s="36"/>
      <c r="L16" s="36"/>
      <c r="M16" s="36"/>
      <c r="N16" s="36"/>
      <c r="O16" s="36"/>
      <c r="P16" s="36"/>
      <c r="Q16" s="36"/>
      <c r="R16" s="36"/>
      <c r="S16" s="36"/>
      <c r="T16" s="36"/>
      <c r="U16" s="36"/>
      <c r="V16" s="36"/>
      <c r="W16" s="36"/>
      <c r="X16" s="36"/>
      <c r="Y16" s="36"/>
      <c r="Z16" s="36"/>
    </row>
    <row r="17" spans="1:26" ht="13.5" customHeight="1">
      <c r="A17" s="42" t="s">
        <v>101</v>
      </c>
      <c r="B17" s="36" t="s">
        <v>102</v>
      </c>
      <c r="C17" s="40" t="s">
        <v>103</v>
      </c>
      <c r="D17" s="38"/>
      <c r="F17" s="39"/>
      <c r="G17" s="36"/>
      <c r="H17" s="36" t="s">
        <v>89</v>
      </c>
      <c r="I17" s="36" t="s">
        <v>104</v>
      </c>
      <c r="J17" s="36"/>
      <c r="L17" s="36"/>
      <c r="M17" s="36"/>
      <c r="N17" s="36"/>
      <c r="O17" s="36"/>
      <c r="P17" s="36"/>
      <c r="Q17" s="36"/>
      <c r="R17" s="36"/>
      <c r="S17" s="36"/>
      <c r="T17" s="36"/>
      <c r="U17" s="36"/>
      <c r="V17" s="36"/>
      <c r="W17" s="36"/>
      <c r="X17" s="36"/>
      <c r="Y17" s="36"/>
      <c r="Z17" s="36"/>
    </row>
    <row r="18" spans="1:26" s="28" customFormat="1" ht="46.5" customHeight="1">
      <c r="A18" s="43" t="s">
        <v>105</v>
      </c>
      <c r="B18" s="7" t="s">
        <v>106</v>
      </c>
      <c r="C18" s="15" t="s">
        <v>107</v>
      </c>
      <c r="D18" s="7"/>
      <c r="E18" s="28" t="s">
        <v>108</v>
      </c>
      <c r="G18" s="7" t="s">
        <v>109</v>
      </c>
      <c r="H18" s="36" t="s">
        <v>89</v>
      </c>
      <c r="I18" s="36" t="s">
        <v>110</v>
      </c>
      <c r="J18" s="7" t="s">
        <v>111</v>
      </c>
      <c r="L18" s="7"/>
      <c r="M18" s="7"/>
      <c r="N18" s="7"/>
      <c r="O18" s="7"/>
      <c r="P18" s="7"/>
      <c r="Q18" s="7"/>
      <c r="R18" s="7"/>
      <c r="S18" s="7"/>
      <c r="T18" s="7"/>
      <c r="U18" s="7"/>
      <c r="V18" s="7"/>
      <c r="W18" s="7"/>
      <c r="X18" s="7"/>
      <c r="Y18" s="7"/>
      <c r="Z18" s="7"/>
    </row>
    <row r="19" spans="1:26" ht="13.5" customHeight="1">
      <c r="A19" s="42" t="s">
        <v>112</v>
      </c>
      <c r="B19" s="7"/>
      <c r="C19" s="15" t="s">
        <v>113</v>
      </c>
      <c r="D19" s="38"/>
      <c r="E19" s="17" t="s">
        <v>114</v>
      </c>
      <c r="F19" s="39" t="s">
        <v>78</v>
      </c>
      <c r="G19" s="36"/>
      <c r="H19" s="36" t="s">
        <v>89</v>
      </c>
      <c r="I19" s="36" t="s">
        <v>115</v>
      </c>
      <c r="J19" s="36"/>
      <c r="K19" s="36"/>
      <c r="L19" s="36"/>
      <c r="M19" s="36"/>
      <c r="N19" s="36"/>
      <c r="O19" s="36"/>
      <c r="P19" s="36"/>
      <c r="Q19" s="36"/>
      <c r="R19" s="36"/>
      <c r="S19" s="36"/>
      <c r="T19" s="36"/>
      <c r="U19" s="36"/>
      <c r="V19" s="36"/>
      <c r="W19" s="36"/>
      <c r="X19" s="36"/>
      <c r="Y19" s="36"/>
      <c r="Z19" s="36"/>
    </row>
    <row r="20" spans="1:26" ht="13.5" customHeight="1">
      <c r="A20" s="44" t="s">
        <v>116</v>
      </c>
      <c r="B20" s="7"/>
      <c r="C20" s="37" t="s">
        <v>117</v>
      </c>
      <c r="D20" s="7"/>
      <c r="E20" s="7" t="s">
        <v>118</v>
      </c>
      <c r="F20" s="7" t="s">
        <v>119</v>
      </c>
      <c r="G20" s="7"/>
      <c r="H20" s="36" t="s">
        <v>89</v>
      </c>
      <c r="I20" s="6" t="s">
        <v>120</v>
      </c>
      <c r="J20" s="6"/>
      <c r="K20" s="41"/>
      <c r="L20" s="6"/>
      <c r="M20" s="6"/>
      <c r="N20" s="6"/>
      <c r="O20" s="6"/>
      <c r="P20" s="6"/>
      <c r="Q20" s="6"/>
      <c r="R20" s="6"/>
      <c r="S20" s="6"/>
      <c r="T20" s="6"/>
      <c r="U20" s="6"/>
      <c r="V20" s="6"/>
      <c r="W20" s="6"/>
      <c r="X20" s="6"/>
      <c r="Y20" s="6"/>
      <c r="Z20" s="6"/>
    </row>
    <row r="21" spans="1:26" ht="13.5" customHeight="1">
      <c r="A21" s="42" t="s">
        <v>121</v>
      </c>
      <c r="B21" s="7"/>
      <c r="C21" s="37" t="s">
        <v>122</v>
      </c>
      <c r="D21" s="7"/>
      <c r="F21" s="39" t="s">
        <v>93</v>
      </c>
      <c r="G21" s="7" t="s">
        <v>123</v>
      </c>
      <c r="H21" s="36" t="s">
        <v>89</v>
      </c>
      <c r="I21" s="36" t="s">
        <v>124</v>
      </c>
      <c r="J21" s="36"/>
      <c r="K21" s="36"/>
      <c r="L21" s="36"/>
      <c r="M21" s="36"/>
      <c r="N21" s="36"/>
      <c r="O21" s="36"/>
      <c r="P21" s="36"/>
      <c r="Q21" s="36"/>
      <c r="R21" s="36"/>
      <c r="S21" s="36"/>
      <c r="T21" s="36"/>
      <c r="U21" s="36"/>
      <c r="V21" s="36"/>
      <c r="W21" s="36"/>
      <c r="X21" s="36"/>
      <c r="Y21" s="36"/>
      <c r="Z21" s="36"/>
    </row>
    <row r="22" spans="1:26" s="120" customFormat="1" ht="13.5" customHeight="1">
      <c r="A22" s="42" t="s">
        <v>125</v>
      </c>
      <c r="B22" s="7" t="s">
        <v>126</v>
      </c>
      <c r="C22" s="37" t="s">
        <v>127</v>
      </c>
      <c r="D22" s="7" t="s">
        <v>128</v>
      </c>
      <c r="E22" s="32">
        <v>46078</v>
      </c>
      <c r="F22" s="39" t="s">
        <v>37</v>
      </c>
      <c r="G22" s="7" t="s">
        <v>129</v>
      </c>
      <c r="H22" s="36" t="s">
        <v>130</v>
      </c>
      <c r="I22" s="117" t="s">
        <v>131</v>
      </c>
      <c r="J22" s="118"/>
      <c r="K22" s="119"/>
      <c r="L22" s="118"/>
      <c r="M22" s="118"/>
      <c r="N22" s="118"/>
      <c r="O22" s="118"/>
      <c r="P22" s="118"/>
      <c r="Q22" s="118"/>
      <c r="R22" s="118"/>
      <c r="S22" s="118"/>
      <c r="T22" s="118"/>
      <c r="U22" s="118"/>
      <c r="V22" s="118"/>
      <c r="W22" s="118"/>
      <c r="X22" s="118"/>
      <c r="Y22" s="118"/>
      <c r="Z22" s="118"/>
    </row>
    <row r="23" spans="1:26" s="120" customFormat="1" ht="69" customHeight="1">
      <c r="A23" s="42" t="s">
        <v>132</v>
      </c>
      <c r="B23" s="7" t="s">
        <v>133</v>
      </c>
      <c r="C23" s="37" t="s">
        <v>134</v>
      </c>
      <c r="D23" s="7" t="s">
        <v>135</v>
      </c>
      <c r="E23" s="32"/>
      <c r="F23" s="39"/>
      <c r="G23" s="7" t="s">
        <v>136</v>
      </c>
      <c r="H23" s="36" t="s">
        <v>130</v>
      </c>
      <c r="I23" s="6" t="s">
        <v>137</v>
      </c>
      <c r="J23" s="120" t="s">
        <v>138</v>
      </c>
    </row>
    <row r="24" spans="1:26" s="120" customFormat="1" ht="13.5" customHeight="1">
      <c r="A24" s="42" t="s">
        <v>139</v>
      </c>
      <c r="B24" s="7" t="s">
        <v>140</v>
      </c>
      <c r="C24" s="37" t="s">
        <v>141</v>
      </c>
      <c r="D24" s="7">
        <v>600000</v>
      </c>
      <c r="E24" s="32">
        <v>46052</v>
      </c>
      <c r="F24" s="39" t="s">
        <v>142</v>
      </c>
      <c r="G24" s="7"/>
      <c r="H24" s="36" t="s">
        <v>143</v>
      </c>
      <c r="I24" s="6" t="s">
        <v>144</v>
      </c>
    </row>
    <row r="25" spans="1:26" ht="13.5" customHeight="1">
      <c r="A25" s="42" t="s">
        <v>145</v>
      </c>
      <c r="B25" s="7" t="s">
        <v>146</v>
      </c>
      <c r="C25" s="37" t="s">
        <v>147</v>
      </c>
      <c r="D25" s="7">
        <v>35000</v>
      </c>
      <c r="E25" s="7" t="s">
        <v>98</v>
      </c>
      <c r="F25" s="39"/>
      <c r="G25" s="7" t="s">
        <v>148</v>
      </c>
      <c r="H25" s="36" t="s">
        <v>149</v>
      </c>
      <c r="I25" s="6"/>
      <c r="J25" s="6"/>
      <c r="K25" s="41"/>
      <c r="L25" s="6"/>
      <c r="M25" s="6"/>
      <c r="N25" s="6"/>
      <c r="O25" s="6"/>
      <c r="P25" s="6"/>
      <c r="Q25" s="6"/>
      <c r="R25" s="6"/>
      <c r="S25" s="6"/>
      <c r="T25" s="6"/>
      <c r="U25" s="6"/>
      <c r="V25" s="6"/>
      <c r="W25" s="6"/>
      <c r="X25" s="6"/>
      <c r="Y25" s="6"/>
      <c r="Z25" s="6"/>
    </row>
    <row r="26" spans="1:26" ht="13.5" customHeight="1">
      <c r="C26" s="37"/>
      <c r="G26" s="7"/>
      <c r="H26" s="36"/>
    </row>
    <row r="27" spans="1:26" ht="27" customHeight="1">
      <c r="A27" s="42" t="s">
        <v>150</v>
      </c>
      <c r="B27" s="7" t="s">
        <v>151</v>
      </c>
      <c r="C27" s="37" t="s">
        <v>152</v>
      </c>
      <c r="D27" s="7" t="s">
        <v>153</v>
      </c>
      <c r="E27" s="32" t="s">
        <v>37</v>
      </c>
      <c r="F27" s="39"/>
      <c r="G27" s="7" t="s">
        <v>154</v>
      </c>
      <c r="H27" s="36" t="s">
        <v>155</v>
      </c>
      <c r="I27" s="6"/>
      <c r="J27" s="120"/>
      <c r="K27" s="120"/>
      <c r="L27" s="120"/>
      <c r="M27" s="120"/>
      <c r="N27" s="120"/>
      <c r="O27" s="120"/>
      <c r="P27" s="120"/>
      <c r="Q27" s="120"/>
      <c r="R27" s="120"/>
      <c r="S27" s="120"/>
      <c r="T27" s="120"/>
      <c r="U27" s="120"/>
      <c r="V27" s="120"/>
      <c r="W27" s="120"/>
      <c r="X27" s="120"/>
      <c r="Y27" s="120"/>
      <c r="Z27" s="120"/>
    </row>
    <row r="28" spans="1:26" ht="13.5" customHeight="1">
      <c r="A28" s="42" t="s">
        <v>156</v>
      </c>
      <c r="B28" s="7" t="s">
        <v>157</v>
      </c>
      <c r="C28" s="37" t="s">
        <v>158</v>
      </c>
      <c r="D28" s="7" t="s">
        <v>153</v>
      </c>
      <c r="E28" s="32" t="s">
        <v>159</v>
      </c>
      <c r="F28" s="39" t="s">
        <v>160</v>
      </c>
      <c r="G28" s="36" t="s">
        <v>161</v>
      </c>
      <c r="H28" s="17" t="s">
        <v>162</v>
      </c>
      <c r="I28" s="21" t="s">
        <v>163</v>
      </c>
      <c r="J28" s="120"/>
      <c r="K28" s="120"/>
      <c r="L28" s="120" t="s">
        <v>164</v>
      </c>
      <c r="M28" s="120">
        <v>75</v>
      </c>
      <c r="N28" s="120" t="s">
        <v>165</v>
      </c>
      <c r="O28" s="120" t="s">
        <v>166</v>
      </c>
      <c r="P28" s="120" t="s">
        <v>167</v>
      </c>
      <c r="Q28" s="120"/>
      <c r="R28" s="120"/>
      <c r="S28" s="120"/>
      <c r="T28" s="120"/>
      <c r="U28" s="120"/>
      <c r="V28" s="120"/>
      <c r="W28" s="120"/>
      <c r="X28" s="120"/>
      <c r="Y28" s="120"/>
      <c r="Z28" s="120"/>
    </row>
    <row r="29" spans="1:26" ht="13.5" customHeight="1">
      <c r="A29" s="42" t="s">
        <v>168</v>
      </c>
      <c r="B29" s="7" t="s">
        <v>169</v>
      </c>
      <c r="C29" s="37"/>
      <c r="D29" s="7"/>
      <c r="E29" s="32" t="s">
        <v>159</v>
      </c>
      <c r="F29" s="39" t="s">
        <v>170</v>
      </c>
      <c r="G29" s="36"/>
      <c r="H29" s="17" t="s">
        <v>171</v>
      </c>
      <c r="I29" s="21" t="s">
        <v>172</v>
      </c>
      <c r="J29" s="120"/>
      <c r="K29" s="120"/>
      <c r="L29" s="120" t="s">
        <v>164</v>
      </c>
      <c r="M29" s="120">
        <v>82</v>
      </c>
      <c r="N29" s="120" t="s">
        <v>173</v>
      </c>
      <c r="O29" s="120" t="s">
        <v>174</v>
      </c>
      <c r="P29" s="120" t="s">
        <v>175</v>
      </c>
      <c r="Q29" s="120" t="s">
        <v>176</v>
      </c>
      <c r="R29" s="120"/>
      <c r="S29" s="120"/>
      <c r="T29" s="120"/>
      <c r="U29" s="120"/>
      <c r="V29" s="120"/>
      <c r="W29" s="120"/>
      <c r="X29" s="120"/>
      <c r="Y29" s="120"/>
      <c r="Z29" s="120"/>
    </row>
  </sheetData>
  <autoFilter ref="A1:I1" xr:uid="{6AFA6B5B-FA99-450E-8E12-6A91C90D56FB}"/>
  <hyperlinks>
    <hyperlink ref="C3" r:id="rId1" xr:uid="{DCE8EEF3-92B6-4DB2-9800-0E3C3BC9534F}"/>
    <hyperlink ref="J3" r:id="rId2" xr:uid="{739E13C7-1324-48C7-8E58-4D97E301CDCF}"/>
    <hyperlink ref="C4" r:id="rId3" xr:uid="{39597735-7D7B-467C-82E7-F69A12B4BF1E}"/>
    <hyperlink ref="C5" r:id="rId4" xr:uid="{EF511674-C681-4B03-92D3-9B8580A76EFF}"/>
    <hyperlink ref="C6" r:id="rId5" xr:uid="{EEFAD30A-5351-42B1-BABB-D4DF55AD05BB}"/>
    <hyperlink ref="C7" r:id="rId6" xr:uid="{1CC0B2D1-783E-43BD-9DE3-3D98153C81C6}"/>
    <hyperlink ref="C8" r:id="rId7" xr:uid="{3CF9C322-9BB6-46DF-890E-D09E0ACAE286}"/>
    <hyperlink ref="C9" r:id="rId8" xr:uid="{0A337C17-1314-4CB9-9EE9-95BE008EF23A}"/>
    <hyperlink ref="C10" r:id="rId9" xr:uid="{492C8B8C-7996-456A-AB9E-8331DC3666C7}"/>
    <hyperlink ref="C11" r:id="rId10" xr:uid="{C5CE701A-35A1-497D-9070-6CC0514E8915}"/>
    <hyperlink ref="C12" r:id="rId11" xr:uid="{42C5005A-8EBF-4DA3-A96F-CC1EE696D401}"/>
    <hyperlink ref="C13" r:id="rId12" xr:uid="{5B57EFA0-ED8A-4CF4-A998-53040405C9C4}"/>
    <hyperlink ref="C14" r:id="rId13" xr:uid="{0E7F4F30-7D82-4E5A-BCAC-1BEB29DB28CE}"/>
    <hyperlink ref="C2" r:id="rId14" xr:uid="{800A7BB6-673F-44B9-ADD1-168210A6BC54}"/>
    <hyperlink ref="C15" r:id="rId15" xr:uid="{A4E4B8F0-F5E0-4F8F-9D0F-F1C23337FE64}"/>
    <hyperlink ref="C16" r:id="rId16" xr:uid="{875AF5A1-4440-4478-A25F-6F45D855ABE4}"/>
    <hyperlink ref="C17" r:id="rId17" xr:uid="{012E1654-FA35-43A3-A973-79EF763C4349}"/>
    <hyperlink ref="C18" r:id="rId18" xr:uid="{DD641A05-52AE-4D76-ADAC-C222ACCA9758}"/>
    <hyperlink ref="C19" r:id="rId19" xr:uid="{568A80E7-2F10-4D08-924A-EFEDB64E087F}"/>
    <hyperlink ref="C20" r:id="rId20" xr:uid="{BB76DE4C-7E32-4160-B032-993142E2A919}"/>
    <hyperlink ref="C21" r:id="rId21" xr:uid="{156AA398-32CF-42C1-8369-173276BCA499}"/>
    <hyperlink ref="C22" r:id="rId22" xr:uid="{7DD5CEB1-D32F-4DF4-BAA4-1324920D162B}"/>
    <hyperlink ref="C23" r:id="rId23" display="https://ec.europa.eu/info/funding-tenders/opportunities/portal/screen/opportunities/topic-details/ERASMUS-EDU-2026-POL-EXP-T02-DIGITAL-ETHICSAI?order=DESC&amp;pageNumber=1&amp;pageSize=50&amp;sortBy=relevance&amp;keywords=digital%20education%20in%20africa&amp;isExactMatch=true&amp;status=31094502" xr:uid="{D79D45BD-7BBA-4ED6-B050-6863684E87F8}"/>
    <hyperlink ref="A23" r:id="rId24" display="https://ec.europa.eu/info/funding-tenders/opportunities/portal/screen/opportunities/topic-details/ERASMUS-EDU-2026-POL-EXP-T02-DIGITAL-ETHICSAI?order=DESC&amp;pageNumber=1&amp;pageSize=50&amp;sortBy=relevance&amp;keywords=digital%20education%20in%20africa&amp;isExactMatch=true&amp;status=31094502" xr:uid="{A654C52E-F192-4C1F-A160-4FF29844E650}"/>
    <hyperlink ref="C24" r:id="rId25" xr:uid="{73393FE8-9F7E-470F-BE05-8B87200D6A4A}"/>
    <hyperlink ref="C25" r:id="rId26" xr:uid="{D5089BC8-A631-4E2F-8D0E-2307AC54D53D}"/>
    <hyperlink ref="C27" r:id="rId27" xr:uid="{D3B509D5-6210-4646-9A4D-2B3152E45344}"/>
    <hyperlink ref="C28" r:id="rId28" xr:uid="{CBE8C574-9611-4471-99C9-8478D1CFE808}"/>
    <hyperlink ref="I29" r:id="rId29" xr:uid="{E4201A1E-74D5-4338-B5D1-BAEDF5C43CE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36"/>
  <sheetViews>
    <sheetView zoomScale="115" zoomScaleNormal="115" workbookViewId="0">
      <pane ySplit="1" topLeftCell="A317" activePane="bottomLeft" state="frozen"/>
      <selection pane="bottomLeft" activeCell="A346" sqref="A346"/>
    </sheetView>
  </sheetViews>
  <sheetFormatPr defaultColWidth="16.85546875" defaultRowHeight="12" customHeight="1"/>
  <cols>
    <col min="1" max="1" width="48.28515625" style="60" customWidth="1"/>
    <col min="2" max="2" width="35.42578125" style="55" customWidth="1"/>
    <col min="3" max="3" width="28.7109375" style="60" customWidth="1"/>
    <col min="4" max="4" width="22.85546875" style="60" customWidth="1"/>
    <col min="5" max="5" width="30.140625" style="60" customWidth="1"/>
    <col min="6" max="6" width="21.42578125" style="60" customWidth="1"/>
    <col min="7" max="7" width="19.5703125" style="55" customWidth="1"/>
    <col min="8" max="8" width="11.28515625" style="55" customWidth="1"/>
    <col min="9" max="9" width="16.28515625" style="55" customWidth="1"/>
    <col min="10" max="24" width="10.140625" style="55" customWidth="1"/>
    <col min="25" max="16384" width="16.85546875" style="55"/>
  </cols>
  <sheetData>
    <row r="1" spans="1:24" s="59" customFormat="1" ht="12.75">
      <c r="A1" s="56" t="s">
        <v>177</v>
      </c>
      <c r="B1" s="57" t="s">
        <v>178</v>
      </c>
      <c r="C1" s="56" t="s">
        <v>179</v>
      </c>
      <c r="D1" s="56" t="s">
        <v>180</v>
      </c>
      <c r="E1" s="56" t="s">
        <v>181</v>
      </c>
      <c r="F1" s="56" t="s">
        <v>182</v>
      </c>
      <c r="G1" s="58" t="s">
        <v>183</v>
      </c>
      <c r="H1" s="58" t="s">
        <v>184</v>
      </c>
      <c r="I1" s="58" t="s">
        <v>185</v>
      </c>
      <c r="J1" s="58" t="s">
        <v>18</v>
      </c>
      <c r="K1" s="57"/>
      <c r="L1" s="57"/>
      <c r="M1" s="57"/>
      <c r="N1" s="57"/>
      <c r="O1" s="57"/>
      <c r="P1" s="57"/>
      <c r="Q1" s="57"/>
      <c r="R1" s="57"/>
      <c r="S1" s="57"/>
      <c r="T1" s="57"/>
      <c r="U1" s="57"/>
      <c r="V1" s="57"/>
      <c r="W1" s="57"/>
      <c r="X1" s="57"/>
    </row>
    <row r="2" spans="1:24" s="107" customFormat="1" ht="15">
      <c r="A2" s="105" t="s">
        <v>186</v>
      </c>
      <c r="B2" s="105"/>
      <c r="C2" s="106" t="s">
        <v>187</v>
      </c>
      <c r="D2" s="105"/>
      <c r="E2" s="105" t="s">
        <v>188</v>
      </c>
      <c r="F2" s="105"/>
      <c r="G2" s="105"/>
      <c r="H2" s="105" t="s">
        <v>189</v>
      </c>
      <c r="I2" s="105" t="s">
        <v>190</v>
      </c>
      <c r="J2" s="108" t="s">
        <v>191</v>
      </c>
      <c r="K2" s="105"/>
      <c r="L2" s="105"/>
      <c r="M2" s="105"/>
      <c r="N2" s="105"/>
      <c r="O2" s="105"/>
      <c r="P2" s="139" t="s">
        <v>191</v>
      </c>
      <c r="Q2" s="105"/>
      <c r="R2" s="105"/>
      <c r="S2" s="105"/>
      <c r="T2" s="105"/>
      <c r="U2" s="105"/>
      <c r="V2" s="105"/>
      <c r="W2" s="105"/>
      <c r="X2" s="105"/>
    </row>
    <row r="3" spans="1:24" s="107" customFormat="1" ht="15">
      <c r="A3" s="105" t="s">
        <v>192</v>
      </c>
      <c r="B3" s="105" t="s">
        <v>193</v>
      </c>
      <c r="C3" s="106" t="s">
        <v>194</v>
      </c>
      <c r="D3" s="105" t="s">
        <v>159</v>
      </c>
      <c r="E3" s="105" t="s">
        <v>195</v>
      </c>
      <c r="F3" s="105"/>
      <c r="G3" s="105" t="s">
        <v>196</v>
      </c>
      <c r="H3" s="105" t="s">
        <v>197</v>
      </c>
      <c r="I3" s="105"/>
      <c r="J3" s="108" t="s">
        <v>198</v>
      </c>
      <c r="K3" s="105"/>
      <c r="L3" s="105"/>
      <c r="M3" s="105"/>
      <c r="N3" s="105"/>
      <c r="O3" s="105"/>
      <c r="P3" s="139" t="s">
        <v>198</v>
      </c>
      <c r="Q3" s="105"/>
      <c r="R3" s="105"/>
      <c r="S3" s="105"/>
      <c r="T3" s="105"/>
      <c r="U3" s="105"/>
      <c r="V3" s="105"/>
      <c r="W3" s="105"/>
      <c r="X3" s="105"/>
    </row>
    <row r="4" spans="1:24" s="107" customFormat="1" ht="15">
      <c r="A4" s="105" t="s">
        <v>199</v>
      </c>
      <c r="B4" s="106" t="s">
        <v>200</v>
      </c>
      <c r="C4" s="106" t="s">
        <v>201</v>
      </c>
      <c r="D4" s="105" t="s">
        <v>202</v>
      </c>
      <c r="E4" s="105" t="s">
        <v>203</v>
      </c>
      <c r="F4" s="105" t="s">
        <v>37</v>
      </c>
      <c r="G4" s="105" t="s">
        <v>204</v>
      </c>
      <c r="H4" s="105"/>
      <c r="I4" s="105"/>
      <c r="J4" s="108" t="s">
        <v>205</v>
      </c>
      <c r="K4" s="105"/>
      <c r="L4" s="105"/>
      <c r="M4" s="105"/>
      <c r="N4" s="105"/>
      <c r="O4" s="105"/>
      <c r="P4" s="139" t="s">
        <v>205</v>
      </c>
      <c r="Q4" s="105"/>
      <c r="R4" s="105"/>
      <c r="S4" s="105"/>
      <c r="T4" s="105"/>
      <c r="U4" s="105"/>
      <c r="V4" s="105"/>
      <c r="W4" s="105"/>
      <c r="X4" s="105"/>
    </row>
    <row r="5" spans="1:24" s="107" customFormat="1" ht="15">
      <c r="A5" s="105" t="s">
        <v>206</v>
      </c>
      <c r="B5" s="105" t="s">
        <v>207</v>
      </c>
      <c r="C5" s="106" t="s">
        <v>208</v>
      </c>
      <c r="D5" s="105"/>
      <c r="E5" s="105" t="s">
        <v>209</v>
      </c>
      <c r="F5" s="105" t="s">
        <v>210</v>
      </c>
      <c r="G5" s="105"/>
      <c r="H5" s="105"/>
      <c r="I5" s="105"/>
      <c r="J5" s="108" t="s">
        <v>211</v>
      </c>
      <c r="K5" s="106" t="s">
        <v>212</v>
      </c>
      <c r="L5" s="105"/>
      <c r="M5" s="105"/>
      <c r="N5" s="105"/>
      <c r="O5" s="105"/>
      <c r="P5" s="139" t="s">
        <v>211</v>
      </c>
      <c r="Q5" s="105"/>
      <c r="R5" s="105"/>
      <c r="S5" s="105"/>
      <c r="T5" s="105"/>
      <c r="U5" s="105"/>
      <c r="V5" s="105"/>
      <c r="W5" s="105"/>
      <c r="X5" s="105"/>
    </row>
    <row r="6" spans="1:24" s="107" customFormat="1" ht="15">
      <c r="A6" s="105" t="s">
        <v>213</v>
      </c>
      <c r="B6" s="105" t="s">
        <v>214</v>
      </c>
      <c r="C6" s="106" t="s">
        <v>215</v>
      </c>
      <c r="D6" s="105" t="s">
        <v>196</v>
      </c>
      <c r="E6" s="105" t="s">
        <v>216</v>
      </c>
      <c r="F6" s="105" t="s">
        <v>217</v>
      </c>
      <c r="G6" s="105" t="s">
        <v>218</v>
      </c>
      <c r="H6" s="105"/>
      <c r="I6" s="105"/>
      <c r="J6" s="109" t="s">
        <v>219</v>
      </c>
      <c r="K6" s="105"/>
      <c r="L6" s="105"/>
      <c r="M6" s="105"/>
      <c r="N6" s="105"/>
      <c r="O6" s="105"/>
      <c r="P6" s="140" t="s">
        <v>219</v>
      </c>
      <c r="Q6" s="105"/>
      <c r="R6" s="105"/>
      <c r="S6" s="105"/>
      <c r="T6" s="105"/>
      <c r="U6" s="105"/>
      <c r="V6" s="105"/>
      <c r="W6" s="105"/>
      <c r="X6" s="105"/>
    </row>
    <row r="7" spans="1:24" s="107" customFormat="1" ht="15">
      <c r="A7" s="105" t="s">
        <v>220</v>
      </c>
      <c r="B7" s="105" t="s">
        <v>221</v>
      </c>
      <c r="C7" s="106" t="s">
        <v>222</v>
      </c>
      <c r="D7" s="105"/>
      <c r="E7" s="105" t="s">
        <v>223</v>
      </c>
      <c r="F7" s="105" t="s">
        <v>224</v>
      </c>
      <c r="G7" s="105"/>
      <c r="H7" s="105"/>
      <c r="I7" s="105"/>
      <c r="J7" s="108" t="s">
        <v>225</v>
      </c>
      <c r="K7" s="105"/>
      <c r="L7" s="105"/>
      <c r="M7" s="105"/>
      <c r="N7" s="105"/>
      <c r="O7" s="105"/>
      <c r="P7" s="139" t="s">
        <v>225</v>
      </c>
      <c r="Q7" s="105"/>
      <c r="R7" s="105"/>
      <c r="S7" s="105"/>
      <c r="T7" s="105"/>
      <c r="U7" s="105"/>
      <c r="V7" s="105"/>
      <c r="W7" s="105"/>
      <c r="X7" s="105"/>
    </row>
    <row r="8" spans="1:24" s="107" customFormat="1" ht="15">
      <c r="A8" s="105" t="s">
        <v>226</v>
      </c>
      <c r="B8" s="105" t="s">
        <v>227</v>
      </c>
      <c r="C8" s="106" t="s">
        <v>228</v>
      </c>
      <c r="D8" s="105"/>
      <c r="E8" s="105" t="s">
        <v>229</v>
      </c>
      <c r="F8" s="105" t="s">
        <v>230</v>
      </c>
      <c r="G8" s="105"/>
      <c r="H8" s="105"/>
      <c r="I8" s="105" t="s">
        <v>210</v>
      </c>
      <c r="J8" s="105"/>
      <c r="K8" s="105"/>
      <c r="L8" s="105"/>
      <c r="M8" s="105"/>
      <c r="N8" s="105"/>
      <c r="O8" s="105"/>
      <c r="P8" s="139" t="s">
        <v>231</v>
      </c>
      <c r="Q8" s="105"/>
      <c r="R8" s="105"/>
      <c r="S8" s="105"/>
      <c r="T8" s="105"/>
      <c r="U8" s="105"/>
      <c r="V8" s="105"/>
      <c r="W8" s="105"/>
      <c r="X8" s="105"/>
    </row>
    <row r="9" spans="1:24" ht="15">
      <c r="A9" t="s">
        <v>232</v>
      </c>
      <c r="B9" t="s">
        <v>233</v>
      </c>
      <c r="C9" t="s">
        <v>234</v>
      </c>
      <c r="D9" t="s">
        <v>196</v>
      </c>
      <c r="E9" t="s">
        <v>235</v>
      </c>
      <c r="F9" t="s">
        <v>159</v>
      </c>
      <c r="G9" t="s">
        <v>236</v>
      </c>
      <c r="H9" t="s">
        <v>237</v>
      </c>
      <c r="I9"/>
      <c r="J9" s="141" t="s">
        <v>238</v>
      </c>
      <c r="K9"/>
      <c r="L9"/>
      <c r="M9"/>
      <c r="N9"/>
      <c r="O9"/>
      <c r="P9" s="141" t="s">
        <v>239</v>
      </c>
      <c r="Q9"/>
      <c r="R9"/>
      <c r="S9"/>
      <c r="T9"/>
      <c r="U9"/>
      <c r="V9"/>
      <c r="W9"/>
      <c r="X9"/>
    </row>
    <row r="10" spans="1:24" ht="15">
      <c r="A10" t="s">
        <v>240</v>
      </c>
      <c r="B10" t="s">
        <v>241</v>
      </c>
      <c r="C10" t="s">
        <v>242</v>
      </c>
      <c r="D10"/>
      <c r="E10" t="s">
        <v>243</v>
      </c>
      <c r="F10" t="s">
        <v>244</v>
      </c>
      <c r="G10"/>
      <c r="H10"/>
      <c r="I10" t="s">
        <v>245</v>
      </c>
      <c r="J10" s="142" t="s">
        <v>246</v>
      </c>
      <c r="K10"/>
      <c r="L10"/>
      <c r="M10"/>
      <c r="N10"/>
      <c r="O10"/>
      <c r="P10" s="142" t="s">
        <v>246</v>
      </c>
      <c r="Q10"/>
      <c r="R10"/>
      <c r="S10"/>
      <c r="T10"/>
      <c r="U10"/>
      <c r="V10"/>
      <c r="W10"/>
      <c r="X10"/>
    </row>
    <row r="11" spans="1:24" ht="15">
      <c r="A11" t="s">
        <v>247</v>
      </c>
      <c r="B11" t="s">
        <v>248</v>
      </c>
      <c r="C11" t="s">
        <v>249</v>
      </c>
      <c r="D11" t="s">
        <v>196</v>
      </c>
      <c r="E11" t="s">
        <v>235</v>
      </c>
      <c r="F11" t="s">
        <v>250</v>
      </c>
      <c r="G11" t="s">
        <v>251</v>
      </c>
      <c r="H11"/>
      <c r="I11"/>
      <c r="J11" s="141" t="s">
        <v>252</v>
      </c>
      <c r="K11"/>
      <c r="L11"/>
      <c r="M11"/>
      <c r="N11"/>
      <c r="O11"/>
      <c r="P11" s="141" t="s">
        <v>252</v>
      </c>
      <c r="Q11"/>
      <c r="R11"/>
      <c r="S11"/>
      <c r="T11"/>
      <c r="U11"/>
      <c r="V11"/>
      <c r="W11"/>
      <c r="X11"/>
    </row>
    <row r="12" spans="1:24" ht="15">
      <c r="A12" t="s">
        <v>253</v>
      </c>
      <c r="B12" t="s">
        <v>254</v>
      </c>
      <c r="C12" t="s">
        <v>255</v>
      </c>
      <c r="D12" t="s">
        <v>196</v>
      </c>
      <c r="E12" t="s">
        <v>235</v>
      </c>
      <c r="F12" t="s">
        <v>256</v>
      </c>
      <c r="G12" t="s">
        <v>257</v>
      </c>
      <c r="H12"/>
      <c r="I12"/>
      <c r="J12" s="141" t="s">
        <v>258</v>
      </c>
      <c r="K12"/>
      <c r="L12"/>
      <c r="M12"/>
      <c r="N12"/>
      <c r="O12"/>
      <c r="P12" s="141" t="s">
        <v>258</v>
      </c>
      <c r="Q12"/>
      <c r="R12"/>
      <c r="S12"/>
      <c r="T12"/>
      <c r="U12"/>
      <c r="V12"/>
      <c r="W12"/>
      <c r="X12"/>
    </row>
    <row r="13" spans="1:24" s="145" customFormat="1" ht="12.75"/>
    <row r="14" spans="1:24" ht="15">
      <c r="A14" t="s">
        <v>259</v>
      </c>
      <c r="B14" t="s">
        <v>260</v>
      </c>
      <c r="C14" t="s">
        <v>261</v>
      </c>
      <c r="D14"/>
      <c r="E14" t="s">
        <v>262</v>
      </c>
      <c r="F14" t="s">
        <v>263</v>
      </c>
      <c r="G14"/>
      <c r="H14"/>
      <c r="I14" t="s">
        <v>264</v>
      </c>
      <c r="J14" s="141" t="s">
        <v>265</v>
      </c>
      <c r="K14"/>
      <c r="L14"/>
      <c r="M14"/>
      <c r="N14"/>
      <c r="O14"/>
      <c r="P14" s="141" t="s">
        <v>265</v>
      </c>
      <c r="Q14"/>
      <c r="R14"/>
      <c r="S14"/>
      <c r="T14"/>
      <c r="U14"/>
      <c r="V14"/>
      <c r="W14"/>
      <c r="X14"/>
    </row>
    <row r="15" spans="1:24" ht="15">
      <c r="A15" t="s">
        <v>266</v>
      </c>
      <c r="B15" t="s">
        <v>267</v>
      </c>
      <c r="C15" t="s">
        <v>268</v>
      </c>
      <c r="D15" t="s">
        <v>196</v>
      </c>
      <c r="E15" t="s">
        <v>235</v>
      </c>
      <c r="F15" t="s">
        <v>37</v>
      </c>
      <c r="G15" t="s">
        <v>269</v>
      </c>
      <c r="H15"/>
      <c r="I15"/>
      <c r="J15" s="141" t="s">
        <v>270</v>
      </c>
      <c r="K15"/>
      <c r="L15"/>
      <c r="M15"/>
      <c r="N15"/>
      <c r="O15"/>
      <c r="P15" s="141" t="s">
        <v>270</v>
      </c>
      <c r="Q15"/>
      <c r="R15"/>
      <c r="S15"/>
      <c r="T15"/>
      <c r="U15"/>
      <c r="V15"/>
      <c r="W15"/>
      <c r="X15"/>
    </row>
    <row r="16" spans="1:24" s="145" customFormat="1" ht="15">
      <c r="A16" s="144" t="s">
        <v>271</v>
      </c>
      <c r="B16" s="144" t="s">
        <v>272</v>
      </c>
      <c r="C16" s="144" t="s">
        <v>273</v>
      </c>
      <c r="D16" s="144" t="s">
        <v>274</v>
      </c>
      <c r="E16" s="144" t="s">
        <v>275</v>
      </c>
      <c r="F16" s="144" t="s">
        <v>37</v>
      </c>
      <c r="G16" s="144" t="s">
        <v>276</v>
      </c>
      <c r="H16" s="144" t="s">
        <v>277</v>
      </c>
      <c r="I16" s="144"/>
      <c r="J16" s="143" t="s">
        <v>278</v>
      </c>
      <c r="K16" s="144"/>
      <c r="L16" s="144"/>
      <c r="M16" s="144"/>
      <c r="N16" s="144"/>
      <c r="O16" s="144"/>
      <c r="P16" s="143" t="s">
        <v>278</v>
      </c>
      <c r="Q16" s="144"/>
      <c r="R16" s="144"/>
      <c r="S16" s="144"/>
      <c r="T16" s="144"/>
      <c r="U16" s="144"/>
      <c r="V16" s="144"/>
      <c r="W16" s="144"/>
      <c r="X16" s="144"/>
    </row>
    <row r="17" spans="1:24" ht="15">
      <c r="A17" t="s">
        <v>279</v>
      </c>
      <c r="B17" t="s">
        <v>280</v>
      </c>
      <c r="C17" t="s">
        <v>281</v>
      </c>
      <c r="D17"/>
      <c r="E17" t="s">
        <v>282</v>
      </c>
      <c r="F17" t="s">
        <v>283</v>
      </c>
      <c r="G17"/>
      <c r="H17"/>
      <c r="I17" t="s">
        <v>284</v>
      </c>
      <c r="J17"/>
      <c r="K17"/>
      <c r="L17"/>
      <c r="M17"/>
      <c r="N17"/>
      <c r="O17"/>
      <c r="P17"/>
      <c r="Q17"/>
      <c r="R17"/>
      <c r="S17"/>
      <c r="T17"/>
      <c r="U17"/>
      <c r="V17"/>
      <c r="W17"/>
      <c r="X17"/>
    </row>
    <row r="18" spans="1:24" ht="15">
      <c r="A18" t="s">
        <v>285</v>
      </c>
      <c r="B18" t="s">
        <v>286</v>
      </c>
      <c r="C18" t="s">
        <v>287</v>
      </c>
      <c r="D18"/>
      <c r="E18" t="s">
        <v>288</v>
      </c>
      <c r="F18" t="s">
        <v>289</v>
      </c>
      <c r="G18"/>
      <c r="H18"/>
      <c r="I18" t="s">
        <v>264</v>
      </c>
      <c r="J18"/>
      <c r="K18"/>
      <c r="L18"/>
      <c r="M18"/>
      <c r="N18"/>
      <c r="O18"/>
      <c r="P18"/>
      <c r="Q18"/>
      <c r="R18"/>
      <c r="S18"/>
      <c r="T18"/>
      <c r="U18"/>
      <c r="V18"/>
      <c r="W18"/>
      <c r="X18"/>
    </row>
    <row r="19" spans="1:24" s="107" customFormat="1" ht="15">
      <c r="A19" s="105" t="s">
        <v>290</v>
      </c>
      <c r="B19" s="105" t="s">
        <v>291</v>
      </c>
      <c r="C19" s="106" t="s">
        <v>292</v>
      </c>
      <c r="D19" s="105" t="s">
        <v>196</v>
      </c>
      <c r="E19" s="105" t="s">
        <v>293</v>
      </c>
      <c r="F19" s="105" t="s">
        <v>37</v>
      </c>
      <c r="G19" s="105" t="s">
        <v>294</v>
      </c>
      <c r="H19" s="105"/>
      <c r="I19" s="105"/>
      <c r="J19" s="105"/>
      <c r="K19" s="105"/>
      <c r="L19" s="105"/>
      <c r="M19" s="105"/>
      <c r="N19" s="105"/>
      <c r="O19" s="105"/>
      <c r="P19" s="105"/>
      <c r="Q19" s="105"/>
      <c r="R19" s="105"/>
      <c r="S19" s="105"/>
      <c r="T19" s="105"/>
      <c r="U19" s="105"/>
      <c r="V19" s="105"/>
      <c r="W19" s="105"/>
      <c r="X19" s="105"/>
    </row>
    <row r="20" spans="1:24" ht="15">
      <c r="A20" t="s">
        <v>295</v>
      </c>
      <c r="B20" t="s">
        <v>296</v>
      </c>
      <c r="C20" t="s">
        <v>297</v>
      </c>
      <c r="D20" t="s">
        <v>196</v>
      </c>
      <c r="E20" t="s">
        <v>264</v>
      </c>
      <c r="F20" t="s">
        <v>298</v>
      </c>
      <c r="G20" t="s">
        <v>299</v>
      </c>
      <c r="H20"/>
      <c r="I20"/>
      <c r="J20"/>
      <c r="K20"/>
      <c r="L20"/>
      <c r="M20"/>
      <c r="N20"/>
      <c r="O20"/>
      <c r="P20"/>
      <c r="Q20"/>
      <c r="R20"/>
      <c r="S20"/>
      <c r="T20"/>
      <c r="U20"/>
      <c r="V20"/>
      <c r="W20"/>
      <c r="X20"/>
    </row>
    <row r="21" spans="1:24" ht="15">
      <c r="A21" t="s">
        <v>300</v>
      </c>
      <c r="B21" t="s">
        <v>301</v>
      </c>
      <c r="C21" t="s">
        <v>302</v>
      </c>
      <c r="D21"/>
      <c r="E21" t="s">
        <v>303</v>
      </c>
      <c r="F21" t="s">
        <v>304</v>
      </c>
      <c r="G21"/>
      <c r="H21"/>
      <c r="I21" t="s">
        <v>196</v>
      </c>
      <c r="J21"/>
      <c r="K21"/>
      <c r="L21"/>
      <c r="M21"/>
      <c r="N21"/>
      <c r="O21"/>
      <c r="P21"/>
      <c r="Q21"/>
      <c r="R21"/>
      <c r="S21"/>
      <c r="T21"/>
      <c r="U21"/>
      <c r="V21"/>
      <c r="W21"/>
      <c r="X21"/>
    </row>
    <row r="22" spans="1:24" ht="15">
      <c r="A22" t="s">
        <v>305</v>
      </c>
      <c r="B22" t="s">
        <v>306</v>
      </c>
      <c r="C22" t="s">
        <v>307</v>
      </c>
      <c r="D22"/>
      <c r="E22" t="s">
        <v>308</v>
      </c>
      <c r="F22" t="s">
        <v>309</v>
      </c>
      <c r="G22" t="s">
        <v>310</v>
      </c>
      <c r="H22"/>
      <c r="I22" t="s">
        <v>311</v>
      </c>
      <c r="J22"/>
      <c r="K22"/>
      <c r="L22"/>
      <c r="M22"/>
      <c r="N22"/>
      <c r="O22"/>
      <c r="P22"/>
      <c r="Q22"/>
      <c r="R22"/>
      <c r="S22"/>
      <c r="T22"/>
      <c r="U22"/>
      <c r="V22"/>
      <c r="W22"/>
      <c r="X22"/>
    </row>
    <row r="23" spans="1:24" ht="15">
      <c r="A23" t="s">
        <v>312</v>
      </c>
      <c r="B23" t="s">
        <v>313</v>
      </c>
      <c r="C23" t="s">
        <v>314</v>
      </c>
      <c r="D23"/>
      <c r="E23" t="s">
        <v>315</v>
      </c>
      <c r="F23" t="s">
        <v>316</v>
      </c>
      <c r="G23" t="s">
        <v>317</v>
      </c>
      <c r="H23"/>
      <c r="I23" t="s">
        <v>264</v>
      </c>
      <c r="J23"/>
      <c r="K23"/>
      <c r="L23"/>
      <c r="M23"/>
      <c r="N23"/>
      <c r="O23"/>
      <c r="P23"/>
      <c r="Q23"/>
      <c r="R23"/>
      <c r="S23"/>
      <c r="T23"/>
      <c r="U23"/>
      <c r="V23"/>
      <c r="W23"/>
      <c r="X23"/>
    </row>
    <row r="24" spans="1:24" ht="15">
      <c r="A24" t="s">
        <v>318</v>
      </c>
      <c r="B24" t="s">
        <v>313</v>
      </c>
      <c r="C24" t="s">
        <v>319</v>
      </c>
      <c r="D24"/>
      <c r="E24" t="s">
        <v>320</v>
      </c>
      <c r="F24" t="s">
        <v>321</v>
      </c>
      <c r="G24"/>
      <c r="H24"/>
      <c r="I24" t="s">
        <v>264</v>
      </c>
      <c r="J24"/>
      <c r="K24"/>
      <c r="L24"/>
      <c r="M24"/>
      <c r="N24"/>
      <c r="O24"/>
      <c r="P24"/>
      <c r="Q24"/>
      <c r="R24"/>
      <c r="S24"/>
      <c r="T24"/>
      <c r="U24"/>
      <c r="V24"/>
      <c r="W24"/>
      <c r="X24"/>
    </row>
    <row r="25" spans="1:24" ht="15">
      <c r="A25" t="s">
        <v>322</v>
      </c>
      <c r="B25" t="s">
        <v>323</v>
      </c>
      <c r="C25" t="s">
        <v>324</v>
      </c>
      <c r="D25"/>
      <c r="E25" t="s">
        <v>325</v>
      </c>
      <c r="F25" t="s">
        <v>326</v>
      </c>
      <c r="G25"/>
      <c r="H25"/>
      <c r="I25" t="s">
        <v>196</v>
      </c>
      <c r="J25"/>
      <c r="K25"/>
      <c r="L25"/>
      <c r="M25"/>
      <c r="N25"/>
      <c r="O25"/>
      <c r="P25"/>
      <c r="Q25"/>
      <c r="R25"/>
      <c r="S25"/>
      <c r="T25"/>
      <c r="U25"/>
      <c r="V25"/>
      <c r="W25"/>
      <c r="X25"/>
    </row>
    <row r="26" spans="1:24" ht="15">
      <c r="A26" t="s">
        <v>327</v>
      </c>
      <c r="B26" t="s">
        <v>328</v>
      </c>
      <c r="C26" t="s">
        <v>329</v>
      </c>
      <c r="D26" t="s">
        <v>196</v>
      </c>
      <c r="E26" t="s">
        <v>330</v>
      </c>
      <c r="F26" t="s">
        <v>159</v>
      </c>
      <c r="G26" t="s">
        <v>331</v>
      </c>
      <c r="H26"/>
      <c r="I26"/>
      <c r="J26"/>
      <c r="K26"/>
      <c r="L26"/>
      <c r="M26"/>
      <c r="N26"/>
      <c r="O26"/>
      <c r="P26"/>
      <c r="Q26"/>
      <c r="R26"/>
      <c r="S26"/>
      <c r="T26"/>
      <c r="U26"/>
      <c r="V26"/>
      <c r="W26"/>
      <c r="X26"/>
    </row>
    <row r="27" spans="1:24" ht="15">
      <c r="A27" t="s">
        <v>332</v>
      </c>
      <c r="B27" t="s">
        <v>333</v>
      </c>
      <c r="C27" t="s">
        <v>334</v>
      </c>
      <c r="D27"/>
      <c r="E27" t="s">
        <v>335</v>
      </c>
      <c r="F27" t="s">
        <v>336</v>
      </c>
      <c r="G27"/>
      <c r="H27"/>
      <c r="I27" t="s">
        <v>210</v>
      </c>
      <c r="J27"/>
      <c r="K27"/>
      <c r="L27"/>
      <c r="M27"/>
      <c r="N27"/>
      <c r="O27"/>
      <c r="P27"/>
      <c r="Q27"/>
      <c r="R27"/>
      <c r="S27"/>
      <c r="T27"/>
      <c r="U27"/>
      <c r="V27"/>
      <c r="W27"/>
      <c r="X27"/>
    </row>
    <row r="28" spans="1:24" ht="15">
      <c r="A28" t="s">
        <v>337</v>
      </c>
      <c r="B28" t="s">
        <v>338</v>
      </c>
      <c r="C28" t="s">
        <v>339</v>
      </c>
      <c r="D28" t="s">
        <v>340</v>
      </c>
      <c r="E28" t="s">
        <v>330</v>
      </c>
      <c r="F28" t="s">
        <v>37</v>
      </c>
      <c r="G28" t="s">
        <v>341</v>
      </c>
      <c r="H28"/>
      <c r="I28"/>
      <c r="J28"/>
      <c r="K28"/>
      <c r="L28"/>
      <c r="M28"/>
      <c r="N28"/>
      <c r="O28"/>
      <c r="P28"/>
      <c r="Q28"/>
      <c r="R28"/>
      <c r="S28"/>
      <c r="T28"/>
      <c r="U28"/>
      <c r="V28"/>
      <c r="W28"/>
      <c r="X28"/>
    </row>
    <row r="29" spans="1:24" ht="15">
      <c r="A29" t="s">
        <v>342</v>
      </c>
      <c r="B29" t="s">
        <v>343</v>
      </c>
      <c r="C29" t="s">
        <v>344</v>
      </c>
      <c r="D29" t="s">
        <v>340</v>
      </c>
      <c r="E29" t="s">
        <v>235</v>
      </c>
      <c r="F29" t="s">
        <v>37</v>
      </c>
      <c r="G29" t="s">
        <v>345</v>
      </c>
      <c r="H29"/>
      <c r="I29"/>
      <c r="J29"/>
      <c r="K29"/>
      <c r="L29"/>
      <c r="M29"/>
      <c r="N29"/>
      <c r="O29"/>
      <c r="P29"/>
      <c r="Q29"/>
      <c r="R29"/>
      <c r="S29"/>
      <c r="T29"/>
      <c r="U29"/>
      <c r="V29"/>
      <c r="W29"/>
      <c r="X29"/>
    </row>
    <row r="30" spans="1:24" ht="15">
      <c r="A30" t="s">
        <v>346</v>
      </c>
      <c r="B30" t="s">
        <v>347</v>
      </c>
      <c r="C30" t="s">
        <v>348</v>
      </c>
      <c r="D30"/>
      <c r="E30" t="s">
        <v>349</v>
      </c>
      <c r="F30" t="s">
        <v>350</v>
      </c>
      <c r="G30"/>
      <c r="H30"/>
      <c r="I30" t="s">
        <v>210</v>
      </c>
      <c r="J30"/>
      <c r="K30"/>
      <c r="L30"/>
      <c r="M30"/>
      <c r="N30"/>
      <c r="O30"/>
      <c r="P30"/>
      <c r="Q30"/>
      <c r="R30"/>
      <c r="S30"/>
      <c r="T30"/>
      <c r="U30"/>
      <c r="V30"/>
      <c r="W30"/>
      <c r="X30"/>
    </row>
    <row r="31" spans="1:24" ht="15">
      <c r="A31" t="s">
        <v>351</v>
      </c>
      <c r="B31" t="s">
        <v>352</v>
      </c>
      <c r="C31" t="s">
        <v>353</v>
      </c>
      <c r="D31" t="s">
        <v>354</v>
      </c>
      <c r="E31">
        <v>46105</v>
      </c>
      <c r="F31" t="s">
        <v>355</v>
      </c>
      <c r="G31" t="s">
        <v>356</v>
      </c>
      <c r="H31" t="s">
        <v>357</v>
      </c>
      <c r="I31"/>
      <c r="J31"/>
      <c r="K31"/>
      <c r="L31"/>
      <c r="M31"/>
      <c r="N31"/>
      <c r="O31"/>
      <c r="P31"/>
      <c r="Q31"/>
      <c r="R31"/>
      <c r="S31"/>
      <c r="T31"/>
      <c r="U31"/>
      <c r="V31"/>
      <c r="W31"/>
      <c r="X31"/>
    </row>
    <row r="32" spans="1:24" ht="15">
      <c r="A32" t="s">
        <v>358</v>
      </c>
      <c r="B32" t="s">
        <v>359</v>
      </c>
      <c r="C32" t="s">
        <v>360</v>
      </c>
      <c r="D32"/>
      <c r="E32" t="s">
        <v>361</v>
      </c>
      <c r="F32" t="s">
        <v>362</v>
      </c>
      <c r="G32"/>
      <c r="H32"/>
      <c r="I32" t="s">
        <v>363</v>
      </c>
      <c r="J32"/>
      <c r="K32"/>
      <c r="L32"/>
      <c r="M32"/>
      <c r="N32"/>
      <c r="O32"/>
      <c r="P32"/>
      <c r="Q32"/>
      <c r="R32"/>
      <c r="S32"/>
      <c r="T32"/>
      <c r="U32"/>
      <c r="V32"/>
      <c r="W32"/>
      <c r="X32"/>
    </row>
    <row r="33" spans="1:24" ht="15">
      <c r="A33" t="s">
        <v>364</v>
      </c>
      <c r="B33" t="s">
        <v>365</v>
      </c>
      <c r="C33"/>
      <c r="D33" t="s">
        <v>366</v>
      </c>
      <c r="E33" t="s">
        <v>367</v>
      </c>
      <c r="F33" t="s">
        <v>368</v>
      </c>
      <c r="G33" t="s">
        <v>369</v>
      </c>
      <c r="H33" t="s">
        <v>370</v>
      </c>
      <c r="I33"/>
      <c r="J33"/>
      <c r="K33"/>
      <c r="L33"/>
      <c r="M33"/>
      <c r="N33"/>
      <c r="O33"/>
      <c r="P33"/>
      <c r="Q33"/>
      <c r="R33"/>
      <c r="S33"/>
      <c r="T33"/>
      <c r="U33"/>
      <c r="V33"/>
      <c r="W33"/>
      <c r="X33"/>
    </row>
    <row r="34" spans="1:24" ht="15">
      <c r="A34" t="s">
        <v>371</v>
      </c>
      <c r="B34"/>
      <c r="C34" t="s">
        <v>372</v>
      </c>
      <c r="D34"/>
      <c r="E34" t="s">
        <v>373</v>
      </c>
      <c r="F34" t="s">
        <v>374</v>
      </c>
      <c r="G34" t="s">
        <v>375</v>
      </c>
      <c r="H34" t="s">
        <v>376</v>
      </c>
      <c r="I34" t="s">
        <v>377</v>
      </c>
      <c r="J34"/>
      <c r="K34"/>
      <c r="L34"/>
      <c r="M34"/>
      <c r="N34"/>
      <c r="O34"/>
      <c r="P34"/>
      <c r="Q34"/>
      <c r="R34"/>
      <c r="S34"/>
      <c r="T34"/>
      <c r="U34"/>
      <c r="V34"/>
      <c r="W34"/>
      <c r="X34"/>
    </row>
    <row r="35" spans="1:24" ht="15">
      <c r="A35" t="s">
        <v>378</v>
      </c>
      <c r="B35" t="s">
        <v>379</v>
      </c>
      <c r="C35" t="s">
        <v>380</v>
      </c>
      <c r="D35" t="s">
        <v>381</v>
      </c>
      <c r="E35" t="s">
        <v>382</v>
      </c>
      <c r="F35" t="s">
        <v>37</v>
      </c>
      <c r="G35" t="s">
        <v>383</v>
      </c>
      <c r="H35" t="s">
        <v>384</v>
      </c>
      <c r="I35"/>
      <c r="J35"/>
      <c r="K35"/>
      <c r="L35"/>
      <c r="M35"/>
      <c r="N35"/>
      <c r="O35"/>
      <c r="P35"/>
      <c r="Q35"/>
      <c r="R35"/>
      <c r="S35"/>
      <c r="T35"/>
      <c r="U35"/>
      <c r="V35"/>
      <c r="W35"/>
      <c r="X35"/>
    </row>
    <row r="36" spans="1:24" ht="15">
      <c r="A36" t="s">
        <v>385</v>
      </c>
      <c r="B36" t="s">
        <v>386</v>
      </c>
      <c r="C36" t="s">
        <v>387</v>
      </c>
      <c r="D36"/>
      <c r="E36" t="s">
        <v>388</v>
      </c>
      <c r="F36" t="s">
        <v>389</v>
      </c>
      <c r="G36"/>
      <c r="H36"/>
      <c r="I36" t="s">
        <v>196</v>
      </c>
      <c r="J36"/>
      <c r="K36"/>
      <c r="L36"/>
      <c r="M36"/>
      <c r="N36"/>
      <c r="O36"/>
      <c r="P36"/>
      <c r="Q36"/>
      <c r="R36"/>
      <c r="S36"/>
      <c r="T36"/>
      <c r="U36"/>
      <c r="V36"/>
      <c r="W36"/>
      <c r="X36"/>
    </row>
    <row r="37" spans="1:24" ht="15">
      <c r="A37" t="s">
        <v>390</v>
      </c>
      <c r="B37" t="s">
        <v>391</v>
      </c>
      <c r="C37" t="s">
        <v>392</v>
      </c>
      <c r="D37" t="s">
        <v>37</v>
      </c>
      <c r="E37" t="s">
        <v>393</v>
      </c>
      <c r="F37"/>
      <c r="G37" t="s">
        <v>394</v>
      </c>
      <c r="H37" t="s">
        <v>235</v>
      </c>
      <c r="I37"/>
      <c r="J37"/>
      <c r="K37"/>
      <c r="L37"/>
      <c r="M37"/>
      <c r="N37"/>
      <c r="O37"/>
      <c r="P37"/>
      <c r="Q37"/>
      <c r="R37"/>
      <c r="S37"/>
      <c r="T37"/>
      <c r="U37"/>
      <c r="V37"/>
      <c r="W37"/>
      <c r="X37"/>
    </row>
    <row r="38" spans="1:24" ht="15">
      <c r="A38" t="s">
        <v>395</v>
      </c>
      <c r="B38" t="s">
        <v>396</v>
      </c>
      <c r="C38" t="s">
        <v>397</v>
      </c>
      <c r="D38" t="s">
        <v>196</v>
      </c>
      <c r="E38" t="s">
        <v>235</v>
      </c>
      <c r="F38" t="s">
        <v>37</v>
      </c>
      <c r="G38" t="s">
        <v>398</v>
      </c>
      <c r="H38"/>
      <c r="I38"/>
      <c r="J38"/>
      <c r="K38"/>
      <c r="L38"/>
      <c r="M38"/>
      <c r="N38"/>
      <c r="O38"/>
      <c r="P38"/>
      <c r="Q38"/>
      <c r="R38"/>
      <c r="S38"/>
      <c r="T38"/>
      <c r="U38"/>
      <c r="V38"/>
      <c r="W38"/>
      <c r="X38"/>
    </row>
    <row r="39" spans="1:24" ht="15">
      <c r="A39" t="s">
        <v>399</v>
      </c>
      <c r="B39" t="s">
        <v>400</v>
      </c>
      <c r="C39" t="s">
        <v>401</v>
      </c>
      <c r="D39" t="s">
        <v>196</v>
      </c>
      <c r="E39">
        <v>46069</v>
      </c>
      <c r="F39" t="s">
        <v>402</v>
      </c>
      <c r="G39" t="s">
        <v>403</v>
      </c>
      <c r="H39" t="s">
        <v>404</v>
      </c>
      <c r="I39"/>
      <c r="J39"/>
      <c r="K39"/>
      <c r="L39"/>
      <c r="M39"/>
      <c r="N39"/>
      <c r="O39"/>
      <c r="P39"/>
      <c r="Q39"/>
      <c r="R39"/>
      <c r="S39"/>
      <c r="T39"/>
      <c r="U39"/>
      <c r="V39"/>
      <c r="W39"/>
      <c r="X39"/>
    </row>
    <row r="40" spans="1:24" ht="15">
      <c r="A40" t="s">
        <v>405</v>
      </c>
      <c r="B40" t="s">
        <v>406</v>
      </c>
      <c r="C40" t="s">
        <v>407</v>
      </c>
      <c r="D40" t="s">
        <v>196</v>
      </c>
      <c r="E40" t="s">
        <v>235</v>
      </c>
      <c r="F40" t="s">
        <v>256</v>
      </c>
      <c r="G40" t="s">
        <v>408</v>
      </c>
      <c r="H40"/>
      <c r="I40"/>
      <c r="J40"/>
      <c r="K40"/>
      <c r="L40"/>
      <c r="M40"/>
      <c r="N40"/>
      <c r="O40"/>
      <c r="P40"/>
      <c r="Q40"/>
      <c r="R40"/>
      <c r="S40"/>
      <c r="T40"/>
      <c r="U40"/>
      <c r="V40"/>
      <c r="W40"/>
      <c r="X40"/>
    </row>
    <row r="41" spans="1:24" ht="15">
      <c r="A41" t="s">
        <v>409</v>
      </c>
      <c r="B41" t="s">
        <v>410</v>
      </c>
      <c r="C41" t="s">
        <v>411</v>
      </c>
      <c r="D41" t="s">
        <v>340</v>
      </c>
      <c r="E41" t="s">
        <v>235</v>
      </c>
      <c r="F41" t="s">
        <v>37</v>
      </c>
      <c r="G41" t="s">
        <v>412</v>
      </c>
      <c r="H41"/>
      <c r="I41"/>
      <c r="J41"/>
      <c r="K41"/>
      <c r="L41"/>
      <c r="M41"/>
      <c r="N41"/>
      <c r="O41"/>
      <c r="P41"/>
      <c r="Q41"/>
      <c r="R41"/>
      <c r="S41"/>
      <c r="T41"/>
      <c r="U41"/>
      <c r="V41"/>
      <c r="W41"/>
      <c r="X41"/>
    </row>
    <row r="42" spans="1:24" ht="15">
      <c r="A42" t="s">
        <v>413</v>
      </c>
      <c r="B42" t="s">
        <v>414</v>
      </c>
      <c r="C42" t="s">
        <v>415</v>
      </c>
      <c r="D42"/>
      <c r="E42" t="s">
        <v>416</v>
      </c>
      <c r="F42" t="s">
        <v>417</v>
      </c>
      <c r="G42"/>
      <c r="H42"/>
      <c r="I42" t="s">
        <v>363</v>
      </c>
      <c r="J42"/>
      <c r="K42"/>
      <c r="L42"/>
      <c r="M42"/>
      <c r="N42"/>
      <c r="O42"/>
      <c r="P42"/>
      <c r="Q42"/>
      <c r="R42"/>
      <c r="S42"/>
      <c r="T42"/>
      <c r="U42"/>
      <c r="V42"/>
      <c r="W42"/>
      <c r="X42"/>
    </row>
    <row r="43" spans="1:24" ht="15">
      <c r="A43" t="s">
        <v>418</v>
      </c>
      <c r="B43" t="s">
        <v>419</v>
      </c>
      <c r="C43" t="s">
        <v>420</v>
      </c>
      <c r="D43" t="s">
        <v>421</v>
      </c>
      <c r="E43" t="s">
        <v>422</v>
      </c>
      <c r="F43" t="s">
        <v>423</v>
      </c>
      <c r="G43" t="s">
        <v>424</v>
      </c>
      <c r="H43" t="s">
        <v>425</v>
      </c>
      <c r="I43"/>
      <c r="J43"/>
      <c r="K43"/>
      <c r="L43"/>
      <c r="M43"/>
      <c r="N43"/>
      <c r="O43"/>
      <c r="P43"/>
      <c r="Q43"/>
      <c r="R43"/>
      <c r="S43"/>
      <c r="T43"/>
      <c r="U43"/>
      <c r="V43"/>
      <c r="W43"/>
      <c r="X43"/>
    </row>
    <row r="44" spans="1:24" ht="15">
      <c r="A44" t="s">
        <v>33</v>
      </c>
      <c r="B44"/>
      <c r="C44" t="s">
        <v>35</v>
      </c>
      <c r="D44" s="99">
        <v>405300</v>
      </c>
      <c r="E44" t="s">
        <v>83</v>
      </c>
      <c r="F44" s="100">
        <v>46266</v>
      </c>
      <c r="G44" t="s">
        <v>426</v>
      </c>
      <c r="H44"/>
      <c r="I44"/>
      <c r="J44"/>
      <c r="K44"/>
      <c r="L44"/>
      <c r="M44"/>
      <c r="N44"/>
      <c r="O44"/>
      <c r="P44"/>
      <c r="Q44"/>
      <c r="R44"/>
      <c r="S44"/>
      <c r="T44"/>
      <c r="U44"/>
      <c r="V44"/>
      <c r="W44"/>
      <c r="X44"/>
    </row>
    <row r="45" spans="1:24" ht="15">
      <c r="A45" t="s">
        <v>427</v>
      </c>
      <c r="B45" t="s">
        <v>428</v>
      </c>
      <c r="C45" t="s">
        <v>429</v>
      </c>
      <c r="D45"/>
      <c r="E45" t="s">
        <v>430</v>
      </c>
      <c r="F45" t="s">
        <v>431</v>
      </c>
      <c r="G45"/>
      <c r="H45"/>
      <c r="I45" t="s">
        <v>264</v>
      </c>
      <c r="J45"/>
      <c r="K45"/>
      <c r="L45"/>
      <c r="M45"/>
      <c r="N45"/>
      <c r="O45"/>
      <c r="P45"/>
      <c r="Q45"/>
      <c r="R45"/>
      <c r="S45"/>
      <c r="T45"/>
      <c r="U45"/>
      <c r="V45"/>
      <c r="W45"/>
      <c r="X45"/>
    </row>
    <row r="46" spans="1:24" ht="15">
      <c r="A46" t="s">
        <v>432</v>
      </c>
      <c r="B46" t="s">
        <v>433</v>
      </c>
      <c r="C46" t="s">
        <v>434</v>
      </c>
      <c r="D46"/>
      <c r="E46" t="s">
        <v>435</v>
      </c>
      <c r="F46" t="s">
        <v>436</v>
      </c>
      <c r="G46"/>
      <c r="H46"/>
      <c r="I46" t="s">
        <v>210</v>
      </c>
      <c r="J46"/>
      <c r="K46"/>
      <c r="L46"/>
      <c r="M46"/>
      <c r="N46"/>
      <c r="O46"/>
      <c r="P46"/>
      <c r="Q46"/>
      <c r="R46"/>
      <c r="S46"/>
      <c r="T46"/>
      <c r="U46"/>
      <c r="V46"/>
      <c r="W46"/>
      <c r="X46"/>
    </row>
    <row r="47" spans="1:24" ht="15">
      <c r="A47" t="s">
        <v>437</v>
      </c>
      <c r="B47" t="s">
        <v>438</v>
      </c>
      <c r="C47" t="s">
        <v>439</v>
      </c>
      <c r="D47" t="s">
        <v>159</v>
      </c>
      <c r="E47" t="s">
        <v>440</v>
      </c>
      <c r="F47"/>
      <c r="G47" t="s">
        <v>196</v>
      </c>
      <c r="H47" t="s">
        <v>235</v>
      </c>
      <c r="I47"/>
      <c r="J47"/>
      <c r="K47"/>
      <c r="L47"/>
      <c r="M47"/>
      <c r="N47"/>
      <c r="O47"/>
      <c r="P47"/>
      <c r="Q47"/>
      <c r="R47"/>
      <c r="S47"/>
      <c r="T47"/>
      <c r="U47"/>
      <c r="V47"/>
      <c r="W47"/>
      <c r="X47"/>
    </row>
    <row r="48" spans="1:24" ht="15">
      <c r="A48" t="s">
        <v>441</v>
      </c>
      <c r="B48" t="s">
        <v>442</v>
      </c>
      <c r="C48" t="s">
        <v>443</v>
      </c>
      <c r="D48"/>
      <c r="E48" t="s">
        <v>444</v>
      </c>
      <c r="F48" t="s">
        <v>445</v>
      </c>
      <c r="G48"/>
      <c r="H48"/>
      <c r="I48" t="s">
        <v>363</v>
      </c>
      <c r="J48"/>
      <c r="K48"/>
      <c r="L48"/>
      <c r="M48"/>
      <c r="N48"/>
      <c r="O48"/>
      <c r="P48"/>
      <c r="Q48"/>
      <c r="R48"/>
      <c r="S48"/>
      <c r="T48"/>
      <c r="U48"/>
      <c r="V48"/>
      <c r="W48"/>
      <c r="X48"/>
    </row>
    <row r="49" spans="1:24" ht="15">
      <c r="A49" t="s">
        <v>446</v>
      </c>
      <c r="B49" t="s">
        <v>447</v>
      </c>
      <c r="C49" t="s">
        <v>448</v>
      </c>
      <c r="D49" t="s">
        <v>196</v>
      </c>
      <c r="E49" t="s">
        <v>449</v>
      </c>
      <c r="F49" t="s">
        <v>450</v>
      </c>
      <c r="G49" t="s">
        <v>451</v>
      </c>
      <c r="H49"/>
      <c r="I49"/>
      <c r="J49"/>
      <c r="K49"/>
      <c r="L49"/>
      <c r="M49"/>
      <c r="N49"/>
      <c r="O49"/>
      <c r="P49"/>
      <c r="Q49"/>
      <c r="R49"/>
      <c r="S49"/>
      <c r="T49"/>
      <c r="U49"/>
      <c r="V49"/>
      <c r="W49"/>
      <c r="X49"/>
    </row>
    <row r="50" spans="1:24" ht="15">
      <c r="A50" t="s">
        <v>452</v>
      </c>
      <c r="B50" t="s">
        <v>453</v>
      </c>
      <c r="C50" t="s">
        <v>454</v>
      </c>
      <c r="D50"/>
      <c r="E50" t="s">
        <v>455</v>
      </c>
      <c r="F50" t="s">
        <v>456</v>
      </c>
      <c r="G50" t="s">
        <v>457</v>
      </c>
      <c r="H50"/>
      <c r="I50" t="s">
        <v>363</v>
      </c>
      <c r="J50"/>
      <c r="K50"/>
      <c r="L50"/>
      <c r="M50"/>
      <c r="N50"/>
      <c r="O50"/>
      <c r="P50"/>
      <c r="Q50"/>
      <c r="R50"/>
      <c r="S50"/>
      <c r="T50"/>
      <c r="U50"/>
      <c r="V50"/>
      <c r="W50"/>
      <c r="X50"/>
    </row>
    <row r="51" spans="1:24" ht="15">
      <c r="A51" t="s">
        <v>458</v>
      </c>
      <c r="B51" t="s">
        <v>459</v>
      </c>
      <c r="C51" t="s">
        <v>460</v>
      </c>
      <c r="D51"/>
      <c r="E51" t="s">
        <v>461</v>
      </c>
      <c r="F51" t="s">
        <v>462</v>
      </c>
      <c r="G51"/>
      <c r="H51"/>
      <c r="I51" t="s">
        <v>264</v>
      </c>
      <c r="J51"/>
      <c r="K51"/>
      <c r="L51"/>
      <c r="M51"/>
      <c r="N51"/>
      <c r="O51"/>
      <c r="P51"/>
      <c r="Q51"/>
      <c r="R51"/>
      <c r="S51"/>
      <c r="T51"/>
      <c r="U51"/>
      <c r="V51"/>
      <c r="W51"/>
      <c r="X51"/>
    </row>
    <row r="52" spans="1:24" ht="15">
      <c r="A52" t="s">
        <v>463</v>
      </c>
      <c r="B52" t="s">
        <v>464</v>
      </c>
      <c r="C52" t="s">
        <v>465</v>
      </c>
      <c r="D52" t="s">
        <v>159</v>
      </c>
      <c r="E52" t="s">
        <v>466</v>
      </c>
      <c r="F52"/>
      <c r="G52" t="s">
        <v>196</v>
      </c>
      <c r="H52" t="s">
        <v>196</v>
      </c>
      <c r="I52"/>
      <c r="J52"/>
      <c r="K52"/>
      <c r="L52"/>
      <c r="M52"/>
      <c r="N52"/>
      <c r="O52"/>
      <c r="P52"/>
      <c r="Q52"/>
      <c r="R52"/>
      <c r="S52"/>
      <c r="T52"/>
      <c r="U52"/>
      <c r="V52"/>
      <c r="W52"/>
      <c r="X52"/>
    </row>
    <row r="53" spans="1:24" ht="15">
      <c r="A53" t="s">
        <v>467</v>
      </c>
      <c r="B53" t="s">
        <v>468</v>
      </c>
      <c r="C53" t="s">
        <v>469</v>
      </c>
      <c r="D53" t="s">
        <v>196</v>
      </c>
      <c r="E53" t="s">
        <v>330</v>
      </c>
      <c r="F53" t="s">
        <v>37</v>
      </c>
      <c r="G53" t="s">
        <v>470</v>
      </c>
      <c r="H53"/>
      <c r="I53"/>
      <c r="J53"/>
      <c r="K53"/>
      <c r="L53"/>
      <c r="M53"/>
      <c r="N53"/>
      <c r="O53"/>
      <c r="P53"/>
      <c r="Q53"/>
      <c r="R53"/>
      <c r="S53"/>
      <c r="T53"/>
      <c r="U53"/>
      <c r="V53"/>
      <c r="W53"/>
      <c r="X53"/>
    </row>
    <row r="54" spans="1:24" ht="15">
      <c r="A54" t="s">
        <v>69</v>
      </c>
      <c r="B54"/>
      <c r="C54" t="s">
        <v>71</v>
      </c>
      <c r="D54" s="99">
        <v>20000</v>
      </c>
      <c r="E54" t="s">
        <v>83</v>
      </c>
      <c r="F54" s="100">
        <v>46357</v>
      </c>
      <c r="G54" t="s">
        <v>72</v>
      </c>
      <c r="H54"/>
      <c r="I54"/>
      <c r="J54"/>
      <c r="K54"/>
      <c r="L54"/>
      <c r="M54"/>
      <c r="N54"/>
      <c r="O54"/>
      <c r="P54"/>
      <c r="Q54"/>
      <c r="R54"/>
      <c r="S54"/>
      <c r="T54"/>
      <c r="U54"/>
      <c r="V54"/>
      <c r="W54"/>
      <c r="X54"/>
    </row>
    <row r="55" spans="1:24" ht="15">
      <c r="A55" t="s">
        <v>471</v>
      </c>
      <c r="B55" t="s">
        <v>472</v>
      </c>
      <c r="C55" t="s">
        <v>473</v>
      </c>
      <c r="D55"/>
      <c r="E55" t="s">
        <v>474</v>
      </c>
      <c r="F55" t="s">
        <v>475</v>
      </c>
      <c r="G55"/>
      <c r="H55"/>
      <c r="I55" t="s">
        <v>264</v>
      </c>
      <c r="J55"/>
      <c r="K55"/>
      <c r="L55"/>
      <c r="M55"/>
      <c r="N55"/>
      <c r="O55"/>
      <c r="P55"/>
      <c r="Q55"/>
      <c r="R55"/>
      <c r="S55"/>
      <c r="T55"/>
      <c r="U55"/>
      <c r="V55"/>
      <c r="W55"/>
      <c r="X55"/>
    </row>
    <row r="56" spans="1:24" ht="15">
      <c r="A56" t="s">
        <v>476</v>
      </c>
      <c r="B56"/>
      <c r="C56" t="s">
        <v>477</v>
      </c>
      <c r="D56"/>
      <c r="E56" t="s">
        <v>478</v>
      </c>
      <c r="F56" t="s">
        <v>479</v>
      </c>
      <c r="G56"/>
      <c r="H56" t="s">
        <v>480</v>
      </c>
      <c r="I56">
        <v>46038</v>
      </c>
      <c r="J56"/>
      <c r="K56"/>
      <c r="L56"/>
      <c r="M56"/>
      <c r="N56"/>
      <c r="O56"/>
      <c r="P56"/>
      <c r="Q56"/>
      <c r="R56"/>
      <c r="S56"/>
      <c r="T56"/>
      <c r="U56"/>
      <c r="V56"/>
      <c r="W56"/>
      <c r="X56"/>
    </row>
    <row r="57" spans="1:24" ht="15">
      <c r="A57" t="s">
        <v>481</v>
      </c>
      <c r="B57" t="s">
        <v>482</v>
      </c>
      <c r="C57" t="s">
        <v>483</v>
      </c>
      <c r="D57"/>
      <c r="E57" t="s">
        <v>484</v>
      </c>
      <c r="F57" t="s">
        <v>485</v>
      </c>
      <c r="G57"/>
      <c r="H57"/>
      <c r="I57" t="s">
        <v>264</v>
      </c>
      <c r="J57"/>
      <c r="K57"/>
      <c r="L57"/>
      <c r="M57"/>
      <c r="N57"/>
      <c r="O57"/>
      <c r="P57"/>
      <c r="Q57"/>
      <c r="R57"/>
      <c r="S57"/>
      <c r="T57"/>
      <c r="U57"/>
      <c r="V57"/>
      <c r="W57"/>
      <c r="X57"/>
    </row>
    <row r="58" spans="1:24" ht="15">
      <c r="A58" t="s">
        <v>486</v>
      </c>
      <c r="B58" t="s">
        <v>487</v>
      </c>
      <c r="C58" t="s">
        <v>488</v>
      </c>
      <c r="D58"/>
      <c r="E58" t="s">
        <v>489</v>
      </c>
      <c r="F58" t="s">
        <v>490</v>
      </c>
      <c r="G58"/>
      <c r="H58"/>
      <c r="I58" t="s">
        <v>264</v>
      </c>
      <c r="J58"/>
      <c r="K58"/>
      <c r="L58"/>
      <c r="M58"/>
      <c r="N58"/>
      <c r="O58"/>
      <c r="P58"/>
      <c r="Q58"/>
      <c r="R58"/>
      <c r="S58"/>
      <c r="T58"/>
      <c r="U58"/>
      <c r="V58"/>
      <c r="W58"/>
      <c r="X58"/>
    </row>
    <row r="59" spans="1:24" ht="15">
      <c r="A59" t="s">
        <v>491</v>
      </c>
      <c r="B59" t="s">
        <v>492</v>
      </c>
      <c r="C59" t="s">
        <v>493</v>
      </c>
      <c r="D59" t="s">
        <v>494</v>
      </c>
      <c r="E59" t="s">
        <v>495</v>
      </c>
      <c r="F59" t="s">
        <v>496</v>
      </c>
      <c r="G59" t="s">
        <v>497</v>
      </c>
      <c r="H59"/>
      <c r="I59"/>
      <c r="J59"/>
      <c r="K59"/>
      <c r="L59"/>
      <c r="M59"/>
      <c r="N59"/>
      <c r="O59"/>
      <c r="P59"/>
      <c r="Q59"/>
      <c r="R59"/>
      <c r="S59"/>
      <c r="T59"/>
      <c r="U59"/>
      <c r="V59"/>
      <c r="W59"/>
      <c r="X59"/>
    </row>
    <row r="60" spans="1:24" ht="15">
      <c r="A60" t="s">
        <v>498</v>
      </c>
      <c r="B60" t="s">
        <v>499</v>
      </c>
      <c r="C60" t="s">
        <v>500</v>
      </c>
      <c r="D60"/>
      <c r="E60" t="s">
        <v>501</v>
      </c>
      <c r="F60" t="s">
        <v>502</v>
      </c>
      <c r="G60"/>
      <c r="H60"/>
      <c r="I60" t="s">
        <v>264</v>
      </c>
      <c r="J60"/>
      <c r="K60"/>
      <c r="L60"/>
      <c r="M60"/>
      <c r="N60"/>
      <c r="O60"/>
      <c r="P60"/>
      <c r="Q60"/>
      <c r="R60"/>
      <c r="S60"/>
      <c r="T60"/>
      <c r="U60"/>
      <c r="V60"/>
      <c r="W60"/>
      <c r="X60"/>
    </row>
    <row r="61" spans="1:24" ht="15">
      <c r="A61" t="s">
        <v>503</v>
      </c>
      <c r="B61"/>
      <c r="C61"/>
      <c r="D61"/>
      <c r="E61" t="s">
        <v>504</v>
      </c>
      <c r="F61"/>
      <c r="G61"/>
      <c r="H61"/>
      <c r="I61"/>
      <c r="J61"/>
      <c r="K61"/>
      <c r="L61"/>
      <c r="M61"/>
      <c r="N61"/>
      <c r="O61"/>
      <c r="P61"/>
      <c r="Q61"/>
      <c r="R61"/>
      <c r="S61"/>
      <c r="T61"/>
      <c r="U61"/>
      <c r="V61"/>
      <c r="W61"/>
      <c r="X61"/>
    </row>
    <row r="62" spans="1:24" ht="15">
      <c r="A62" t="s">
        <v>505</v>
      </c>
      <c r="B62"/>
      <c r="C62" t="s">
        <v>60</v>
      </c>
      <c r="D62" s="99">
        <v>50000</v>
      </c>
      <c r="E62" t="s">
        <v>83</v>
      </c>
      <c r="F62" s="100">
        <v>46357</v>
      </c>
      <c r="G62" t="s">
        <v>63</v>
      </c>
      <c r="H62"/>
      <c r="I62"/>
      <c r="J62"/>
      <c r="K62"/>
      <c r="L62"/>
      <c r="M62"/>
      <c r="N62"/>
      <c r="O62"/>
      <c r="P62"/>
      <c r="Q62"/>
      <c r="R62"/>
      <c r="S62"/>
      <c r="T62"/>
      <c r="U62"/>
      <c r="V62"/>
      <c r="W62"/>
      <c r="X62"/>
    </row>
    <row r="63" spans="1:24" ht="15">
      <c r="A63" t="s">
        <v>506</v>
      </c>
      <c r="B63" t="s">
        <v>507</v>
      </c>
      <c r="C63" t="s">
        <v>508</v>
      </c>
      <c r="D63"/>
      <c r="E63" t="s">
        <v>509</v>
      </c>
      <c r="F63" t="s">
        <v>510</v>
      </c>
      <c r="G63"/>
      <c r="H63"/>
      <c r="I63" t="s">
        <v>196</v>
      </c>
      <c r="J63"/>
      <c r="K63"/>
      <c r="L63"/>
      <c r="M63"/>
      <c r="N63"/>
      <c r="O63"/>
      <c r="P63"/>
      <c r="Q63"/>
      <c r="R63"/>
      <c r="S63"/>
      <c r="T63"/>
      <c r="U63"/>
      <c r="V63"/>
      <c r="W63"/>
      <c r="X63"/>
    </row>
    <row r="64" spans="1:24" ht="15">
      <c r="A64" t="s">
        <v>511</v>
      </c>
      <c r="B64" t="s">
        <v>512</v>
      </c>
      <c r="C64" t="s">
        <v>513</v>
      </c>
      <c r="D64"/>
      <c r="E64" t="s">
        <v>514</v>
      </c>
      <c r="F64" t="s">
        <v>210</v>
      </c>
      <c r="G64"/>
      <c r="H64"/>
      <c r="I64" t="s">
        <v>210</v>
      </c>
      <c r="J64"/>
      <c r="K64"/>
      <c r="L64"/>
      <c r="M64"/>
      <c r="N64"/>
      <c r="O64"/>
      <c r="P64"/>
      <c r="Q64"/>
      <c r="R64"/>
      <c r="S64"/>
      <c r="T64"/>
      <c r="U64"/>
      <c r="V64"/>
      <c r="W64"/>
      <c r="X64"/>
    </row>
    <row r="65" spans="1:24" ht="15">
      <c r="A65" t="s">
        <v>515</v>
      </c>
      <c r="B65" t="s">
        <v>516</v>
      </c>
      <c r="C65" t="s">
        <v>517</v>
      </c>
      <c r="D65"/>
      <c r="E65" t="s">
        <v>518</v>
      </c>
      <c r="F65" t="s">
        <v>519</v>
      </c>
      <c r="G65"/>
      <c r="H65"/>
      <c r="I65" t="s">
        <v>196</v>
      </c>
      <c r="J65"/>
      <c r="K65"/>
      <c r="L65"/>
      <c r="M65"/>
      <c r="N65"/>
      <c r="O65"/>
      <c r="P65"/>
      <c r="Q65"/>
      <c r="R65"/>
      <c r="S65"/>
      <c r="T65"/>
      <c r="U65"/>
      <c r="V65"/>
      <c r="W65"/>
      <c r="X65"/>
    </row>
    <row r="66" spans="1:24" ht="15">
      <c r="A66" t="s">
        <v>520</v>
      </c>
      <c r="B66" t="s">
        <v>521</v>
      </c>
      <c r="C66" t="s">
        <v>522</v>
      </c>
      <c r="D66" t="s">
        <v>37</v>
      </c>
      <c r="E66" t="s">
        <v>523</v>
      </c>
      <c r="F66"/>
      <c r="G66" t="s">
        <v>524</v>
      </c>
      <c r="H66" t="s">
        <v>235</v>
      </c>
      <c r="I66"/>
      <c r="J66"/>
      <c r="K66"/>
      <c r="L66"/>
      <c r="M66"/>
      <c r="N66"/>
      <c r="O66"/>
      <c r="P66"/>
      <c r="Q66"/>
      <c r="R66"/>
      <c r="S66"/>
      <c r="T66"/>
      <c r="U66"/>
      <c r="V66"/>
      <c r="W66"/>
      <c r="X66"/>
    </row>
    <row r="67" spans="1:24" ht="15">
      <c r="A67" t="s">
        <v>525</v>
      </c>
      <c r="B67" t="s">
        <v>526</v>
      </c>
      <c r="C67" t="s">
        <v>527</v>
      </c>
      <c r="D67"/>
      <c r="E67" t="s">
        <v>528</v>
      </c>
      <c r="F67" t="s">
        <v>529</v>
      </c>
      <c r="G67"/>
      <c r="H67"/>
      <c r="I67" t="s">
        <v>235</v>
      </c>
      <c r="J67"/>
      <c r="K67"/>
      <c r="L67"/>
      <c r="M67"/>
      <c r="N67"/>
      <c r="O67"/>
      <c r="P67"/>
      <c r="Q67"/>
      <c r="R67"/>
      <c r="S67"/>
      <c r="T67"/>
      <c r="U67"/>
      <c r="V67"/>
      <c r="W67"/>
      <c r="X67"/>
    </row>
    <row r="68" spans="1:24" ht="15">
      <c r="A68" t="s">
        <v>530</v>
      </c>
      <c r="B68" t="s">
        <v>531</v>
      </c>
      <c r="C68" t="s">
        <v>532</v>
      </c>
      <c r="D68" t="s">
        <v>37</v>
      </c>
      <c r="E68" t="s">
        <v>533</v>
      </c>
      <c r="F68"/>
      <c r="G68" t="s">
        <v>196</v>
      </c>
      <c r="H68" t="s">
        <v>196</v>
      </c>
      <c r="I68"/>
      <c r="J68"/>
      <c r="K68"/>
      <c r="L68"/>
      <c r="M68"/>
      <c r="N68"/>
      <c r="O68"/>
      <c r="P68"/>
      <c r="Q68"/>
      <c r="R68"/>
      <c r="S68"/>
      <c r="T68"/>
      <c r="U68"/>
      <c r="V68"/>
      <c r="W68"/>
      <c r="X68"/>
    </row>
    <row r="69" spans="1:24" ht="15">
      <c r="A69" t="s">
        <v>534</v>
      </c>
      <c r="B69" t="s">
        <v>535</v>
      </c>
      <c r="C69" t="s">
        <v>536</v>
      </c>
      <c r="D69" t="s">
        <v>159</v>
      </c>
      <c r="E69" t="s">
        <v>537</v>
      </c>
      <c r="F69"/>
      <c r="G69" t="s">
        <v>538</v>
      </c>
      <c r="H69" t="s">
        <v>539</v>
      </c>
      <c r="I69"/>
      <c r="J69"/>
      <c r="K69"/>
      <c r="L69"/>
      <c r="M69"/>
      <c r="N69"/>
      <c r="O69"/>
      <c r="P69"/>
      <c r="Q69"/>
      <c r="R69"/>
      <c r="S69"/>
      <c r="T69"/>
      <c r="U69"/>
      <c r="V69"/>
      <c r="W69"/>
      <c r="X69"/>
    </row>
    <row r="70" spans="1:24" ht="15">
      <c r="A70" t="s">
        <v>540</v>
      </c>
      <c r="B70" t="s">
        <v>541</v>
      </c>
      <c r="C70" t="s">
        <v>542</v>
      </c>
      <c r="D70"/>
      <c r="E70" t="s">
        <v>543</v>
      </c>
      <c r="F70" t="s">
        <v>544</v>
      </c>
      <c r="G70"/>
      <c r="H70"/>
      <c r="I70" t="s">
        <v>196</v>
      </c>
      <c r="J70"/>
      <c r="K70"/>
      <c r="L70"/>
      <c r="M70"/>
      <c r="N70"/>
      <c r="O70"/>
      <c r="P70"/>
      <c r="Q70"/>
      <c r="R70"/>
      <c r="S70"/>
      <c r="T70"/>
      <c r="U70"/>
      <c r="V70"/>
      <c r="W70"/>
      <c r="X70"/>
    </row>
    <row r="71" spans="1:24" ht="15">
      <c r="A71" t="s">
        <v>545</v>
      </c>
      <c r="B71" t="s">
        <v>546</v>
      </c>
      <c r="C71" t="s">
        <v>547</v>
      </c>
      <c r="D71" t="s">
        <v>548</v>
      </c>
      <c r="E71" t="s">
        <v>549</v>
      </c>
      <c r="F71"/>
      <c r="G71" t="s">
        <v>550</v>
      </c>
      <c r="H71" t="s">
        <v>235</v>
      </c>
      <c r="I71"/>
      <c r="J71"/>
      <c r="K71"/>
      <c r="L71"/>
      <c r="M71"/>
      <c r="N71"/>
      <c r="O71"/>
      <c r="P71"/>
      <c r="Q71"/>
      <c r="R71"/>
      <c r="S71"/>
      <c r="T71"/>
      <c r="U71"/>
      <c r="V71"/>
      <c r="W71"/>
      <c r="X71"/>
    </row>
    <row r="72" spans="1:24" ht="15">
      <c r="A72" t="s">
        <v>551</v>
      </c>
      <c r="B72" t="s">
        <v>552</v>
      </c>
      <c r="C72" t="s">
        <v>553</v>
      </c>
      <c r="D72"/>
      <c r="E72" t="s">
        <v>554</v>
      </c>
      <c r="F72" t="s">
        <v>555</v>
      </c>
      <c r="G72"/>
      <c r="H72"/>
      <c r="I72" t="s">
        <v>210</v>
      </c>
      <c r="J72"/>
      <c r="K72"/>
      <c r="L72"/>
      <c r="M72"/>
      <c r="N72"/>
      <c r="O72"/>
      <c r="P72"/>
      <c r="Q72"/>
      <c r="R72"/>
      <c r="S72"/>
      <c r="T72"/>
      <c r="U72"/>
      <c r="V72"/>
      <c r="W72"/>
      <c r="X72"/>
    </row>
    <row r="73" spans="1:24" ht="15">
      <c r="A73" t="s">
        <v>556</v>
      </c>
      <c r="B73" t="s">
        <v>557</v>
      </c>
      <c r="C73" t="s">
        <v>558</v>
      </c>
      <c r="D73"/>
      <c r="E73" t="s">
        <v>559</v>
      </c>
      <c r="F73" t="s">
        <v>560</v>
      </c>
      <c r="G73"/>
      <c r="H73"/>
      <c r="I73" t="s">
        <v>210</v>
      </c>
      <c r="J73"/>
      <c r="K73"/>
      <c r="L73"/>
      <c r="M73"/>
      <c r="N73"/>
      <c r="O73"/>
      <c r="P73"/>
      <c r="Q73"/>
      <c r="R73"/>
      <c r="S73"/>
      <c r="T73"/>
      <c r="U73"/>
      <c r="V73"/>
      <c r="W73"/>
      <c r="X73"/>
    </row>
    <row r="74" spans="1:24" ht="15">
      <c r="A74" t="s">
        <v>561</v>
      </c>
      <c r="B74" t="s">
        <v>562</v>
      </c>
      <c r="C74" t="s">
        <v>563</v>
      </c>
      <c r="D74"/>
      <c r="E74" t="s">
        <v>564</v>
      </c>
      <c r="F74" t="s">
        <v>565</v>
      </c>
      <c r="G74"/>
      <c r="H74"/>
      <c r="I74" t="s">
        <v>264</v>
      </c>
      <c r="J74"/>
      <c r="K74"/>
      <c r="L74"/>
      <c r="M74"/>
      <c r="N74"/>
      <c r="O74"/>
      <c r="P74"/>
      <c r="Q74"/>
      <c r="R74"/>
      <c r="S74"/>
      <c r="T74"/>
      <c r="U74"/>
      <c r="V74"/>
      <c r="W74"/>
      <c r="X74"/>
    </row>
    <row r="75" spans="1:24" ht="15">
      <c r="A75" t="s">
        <v>566</v>
      </c>
      <c r="B75" t="s">
        <v>567</v>
      </c>
      <c r="C75" t="s">
        <v>563</v>
      </c>
      <c r="D75"/>
      <c r="E75" t="s">
        <v>568</v>
      </c>
      <c r="F75" t="s">
        <v>565</v>
      </c>
      <c r="G75"/>
      <c r="H75"/>
      <c r="I75" t="s">
        <v>569</v>
      </c>
      <c r="J75"/>
      <c r="K75"/>
      <c r="L75"/>
      <c r="M75"/>
      <c r="N75"/>
      <c r="O75"/>
      <c r="P75"/>
      <c r="Q75"/>
      <c r="R75"/>
      <c r="S75"/>
      <c r="T75"/>
      <c r="U75"/>
      <c r="V75"/>
      <c r="W75"/>
      <c r="X75"/>
    </row>
    <row r="76" spans="1:24" ht="15">
      <c r="A76" t="s">
        <v>570</v>
      </c>
      <c r="B76" t="s">
        <v>571</v>
      </c>
      <c r="C76" t="s">
        <v>572</v>
      </c>
      <c r="D76" t="s">
        <v>159</v>
      </c>
      <c r="E76" t="s">
        <v>573</v>
      </c>
      <c r="F76"/>
      <c r="G76" t="s">
        <v>574</v>
      </c>
      <c r="H76" t="s">
        <v>235</v>
      </c>
      <c r="I76"/>
      <c r="J76"/>
      <c r="K76"/>
      <c r="L76"/>
      <c r="M76"/>
      <c r="N76"/>
      <c r="O76"/>
      <c r="P76"/>
      <c r="Q76"/>
      <c r="R76"/>
      <c r="S76"/>
      <c r="T76"/>
      <c r="U76"/>
      <c r="V76"/>
      <c r="W76"/>
      <c r="X76"/>
    </row>
    <row r="77" spans="1:24" ht="15">
      <c r="A77" t="s">
        <v>575</v>
      </c>
      <c r="B77" t="s">
        <v>576</v>
      </c>
      <c r="C77" t="s">
        <v>577</v>
      </c>
      <c r="D77" t="s">
        <v>159</v>
      </c>
      <c r="E77" t="s">
        <v>578</v>
      </c>
      <c r="F77"/>
      <c r="G77" t="s">
        <v>579</v>
      </c>
      <c r="H77" t="s">
        <v>580</v>
      </c>
      <c r="I77"/>
      <c r="J77"/>
      <c r="K77"/>
      <c r="L77"/>
      <c r="M77"/>
      <c r="N77"/>
      <c r="O77"/>
      <c r="P77"/>
      <c r="Q77"/>
      <c r="R77"/>
      <c r="S77"/>
      <c r="T77"/>
      <c r="U77"/>
      <c r="V77"/>
      <c r="W77"/>
      <c r="X77"/>
    </row>
    <row r="78" spans="1:24" ht="15">
      <c r="A78" t="s">
        <v>581</v>
      </c>
      <c r="B78" t="s">
        <v>582</v>
      </c>
      <c r="C78" t="s">
        <v>583</v>
      </c>
      <c r="D78" t="s">
        <v>584</v>
      </c>
      <c r="E78" t="s">
        <v>585</v>
      </c>
      <c r="F78"/>
      <c r="G78" t="s">
        <v>550</v>
      </c>
      <c r="H78" t="s">
        <v>264</v>
      </c>
      <c r="I78"/>
      <c r="J78"/>
      <c r="K78"/>
      <c r="L78"/>
      <c r="M78"/>
      <c r="N78"/>
      <c r="O78"/>
      <c r="P78"/>
      <c r="Q78"/>
      <c r="R78"/>
      <c r="S78"/>
      <c r="T78"/>
      <c r="U78"/>
      <c r="V78"/>
      <c r="W78"/>
      <c r="X78"/>
    </row>
    <row r="79" spans="1:24" ht="15">
      <c r="A79" t="s">
        <v>586</v>
      </c>
      <c r="B79" t="s">
        <v>587</v>
      </c>
      <c r="C79" t="s">
        <v>588</v>
      </c>
      <c r="D79"/>
      <c r="E79" t="s">
        <v>589</v>
      </c>
      <c r="F79" t="s">
        <v>196</v>
      </c>
      <c r="G79"/>
      <c r="H79"/>
      <c r="I79" t="s">
        <v>264</v>
      </c>
      <c r="J79"/>
      <c r="K79"/>
      <c r="L79"/>
      <c r="M79"/>
      <c r="N79"/>
      <c r="O79"/>
      <c r="P79"/>
      <c r="Q79"/>
      <c r="R79"/>
      <c r="S79"/>
      <c r="T79"/>
      <c r="U79"/>
      <c r="V79"/>
      <c r="W79"/>
      <c r="X79"/>
    </row>
    <row r="80" spans="1:24" ht="15">
      <c r="A80" t="s">
        <v>590</v>
      </c>
      <c r="B80" t="s">
        <v>591</v>
      </c>
      <c r="C80" t="s">
        <v>592</v>
      </c>
      <c r="D80" t="s">
        <v>548</v>
      </c>
      <c r="E80" t="s">
        <v>593</v>
      </c>
      <c r="F80"/>
      <c r="G80" t="s">
        <v>196</v>
      </c>
      <c r="H80" t="s">
        <v>235</v>
      </c>
      <c r="I80"/>
      <c r="J80"/>
      <c r="K80"/>
      <c r="L80"/>
      <c r="M80"/>
      <c r="N80"/>
      <c r="O80"/>
      <c r="P80"/>
      <c r="Q80"/>
      <c r="R80"/>
      <c r="S80"/>
      <c r="T80"/>
      <c r="U80"/>
      <c r="V80"/>
      <c r="W80"/>
      <c r="X80"/>
    </row>
    <row r="81" spans="1:24" ht="15">
      <c r="A81" t="s">
        <v>594</v>
      </c>
      <c r="B81" t="s">
        <v>595</v>
      </c>
      <c r="C81" t="s">
        <v>596</v>
      </c>
      <c r="D81" t="s">
        <v>159</v>
      </c>
      <c r="E81" t="s">
        <v>597</v>
      </c>
      <c r="F81"/>
      <c r="G81" t="s">
        <v>196</v>
      </c>
      <c r="H81" t="s">
        <v>235</v>
      </c>
      <c r="I81"/>
      <c r="J81"/>
      <c r="K81"/>
      <c r="L81"/>
      <c r="M81"/>
      <c r="N81"/>
      <c r="O81"/>
      <c r="P81"/>
      <c r="Q81"/>
      <c r="R81"/>
      <c r="S81"/>
      <c r="T81"/>
      <c r="U81"/>
      <c r="V81"/>
      <c r="W81"/>
      <c r="X81"/>
    </row>
    <row r="82" spans="1:24" ht="15">
      <c r="A82" t="s">
        <v>598</v>
      </c>
      <c r="B82" t="s">
        <v>599</v>
      </c>
      <c r="C82" t="s">
        <v>600</v>
      </c>
      <c r="D82"/>
      <c r="E82" t="s">
        <v>601</v>
      </c>
      <c r="F82" t="s">
        <v>602</v>
      </c>
      <c r="G82"/>
      <c r="H82"/>
      <c r="I82" t="s">
        <v>603</v>
      </c>
      <c r="J82"/>
      <c r="K82"/>
      <c r="L82"/>
      <c r="M82"/>
      <c r="N82"/>
      <c r="O82"/>
      <c r="P82"/>
      <c r="Q82"/>
      <c r="R82"/>
      <c r="S82"/>
      <c r="T82"/>
      <c r="U82"/>
      <c r="V82"/>
      <c r="W82"/>
      <c r="X82"/>
    </row>
    <row r="83" spans="1:24" ht="15">
      <c r="A83" t="s">
        <v>604</v>
      </c>
      <c r="B83" t="s">
        <v>605</v>
      </c>
      <c r="C83" t="s">
        <v>606</v>
      </c>
      <c r="D83" t="s">
        <v>159</v>
      </c>
      <c r="E83" t="s">
        <v>607</v>
      </c>
      <c r="F83"/>
      <c r="G83" t="s">
        <v>196</v>
      </c>
      <c r="H83" t="s">
        <v>235</v>
      </c>
      <c r="I83"/>
      <c r="J83"/>
      <c r="K83"/>
      <c r="L83"/>
      <c r="M83"/>
      <c r="N83"/>
      <c r="O83"/>
      <c r="P83"/>
      <c r="Q83"/>
      <c r="R83"/>
      <c r="S83"/>
      <c r="T83"/>
      <c r="U83"/>
      <c r="V83"/>
      <c r="W83"/>
      <c r="X83"/>
    </row>
    <row r="84" spans="1:24" ht="15">
      <c r="A84" t="s">
        <v>608</v>
      </c>
      <c r="B84" t="s">
        <v>609</v>
      </c>
      <c r="C84" t="s">
        <v>610</v>
      </c>
      <c r="D84" t="s">
        <v>37</v>
      </c>
      <c r="E84" t="s">
        <v>611</v>
      </c>
      <c r="F84"/>
      <c r="G84" t="s">
        <v>612</v>
      </c>
      <c r="H84" t="s">
        <v>235</v>
      </c>
      <c r="I84"/>
      <c r="J84"/>
      <c r="K84"/>
      <c r="L84"/>
      <c r="M84"/>
      <c r="N84"/>
      <c r="O84"/>
      <c r="P84"/>
      <c r="Q84"/>
      <c r="R84"/>
      <c r="S84"/>
      <c r="T84"/>
      <c r="U84"/>
      <c r="V84"/>
      <c r="W84"/>
      <c r="X84"/>
    </row>
    <row r="85" spans="1:24" ht="15">
      <c r="A85" t="s">
        <v>613</v>
      </c>
      <c r="B85" t="s">
        <v>614</v>
      </c>
      <c r="C85" t="s">
        <v>615</v>
      </c>
      <c r="D85"/>
      <c r="E85" t="s">
        <v>616</v>
      </c>
      <c r="F85" t="s">
        <v>617</v>
      </c>
      <c r="G85"/>
      <c r="H85"/>
      <c r="I85" t="s">
        <v>618</v>
      </c>
      <c r="J85"/>
      <c r="K85"/>
      <c r="L85"/>
      <c r="M85"/>
      <c r="N85"/>
      <c r="O85"/>
      <c r="P85"/>
      <c r="Q85"/>
      <c r="R85"/>
      <c r="S85"/>
      <c r="T85"/>
      <c r="U85"/>
      <c r="V85"/>
      <c r="W85"/>
      <c r="X85"/>
    </row>
    <row r="86" spans="1:24" ht="15">
      <c r="A86" t="s">
        <v>619</v>
      </c>
      <c r="B86" t="s">
        <v>620</v>
      </c>
      <c r="C86" t="s">
        <v>621</v>
      </c>
      <c r="D86"/>
      <c r="E86" t="s">
        <v>622</v>
      </c>
      <c r="F86" t="s">
        <v>623</v>
      </c>
      <c r="G86"/>
      <c r="H86"/>
      <c r="I86" t="s">
        <v>624</v>
      </c>
      <c r="J86"/>
      <c r="K86"/>
      <c r="L86"/>
      <c r="M86"/>
      <c r="N86"/>
      <c r="O86"/>
      <c r="P86"/>
      <c r="Q86"/>
      <c r="R86"/>
      <c r="S86"/>
      <c r="T86"/>
      <c r="U86"/>
      <c r="V86"/>
      <c r="W86"/>
      <c r="X86"/>
    </row>
    <row r="87" spans="1:24" ht="15">
      <c r="A87" t="s">
        <v>49</v>
      </c>
      <c r="B87"/>
      <c r="C87" t="s">
        <v>51</v>
      </c>
      <c r="D87" s="99">
        <v>100000</v>
      </c>
      <c r="E87" t="s">
        <v>83</v>
      </c>
      <c r="F87" s="100">
        <v>46296</v>
      </c>
      <c r="G87" t="s">
        <v>54</v>
      </c>
      <c r="H87"/>
      <c r="I87"/>
      <c r="J87"/>
      <c r="K87"/>
      <c r="L87"/>
      <c r="M87"/>
      <c r="N87"/>
      <c r="O87"/>
      <c r="P87"/>
      <c r="Q87"/>
      <c r="R87"/>
      <c r="S87"/>
      <c r="T87"/>
      <c r="U87"/>
      <c r="V87"/>
      <c r="W87"/>
      <c r="X87"/>
    </row>
    <row r="88" spans="1:24" ht="15">
      <c r="A88" t="s">
        <v>625</v>
      </c>
      <c r="B88" t="s">
        <v>626</v>
      </c>
      <c r="C88" t="s">
        <v>627</v>
      </c>
      <c r="D88" t="s">
        <v>628</v>
      </c>
      <c r="E88" t="s">
        <v>235</v>
      </c>
      <c r="F88" t="s">
        <v>37</v>
      </c>
      <c r="G88" t="s">
        <v>629</v>
      </c>
      <c r="H88"/>
      <c r="I88"/>
      <c r="J88"/>
      <c r="K88"/>
      <c r="L88"/>
      <c r="M88"/>
      <c r="N88"/>
      <c r="O88"/>
      <c r="P88"/>
      <c r="Q88"/>
      <c r="R88"/>
      <c r="S88"/>
      <c r="T88"/>
      <c r="U88"/>
      <c r="V88"/>
      <c r="W88"/>
      <c r="X88"/>
    </row>
    <row r="89" spans="1:24" ht="15">
      <c r="A89" t="s">
        <v>630</v>
      </c>
      <c r="B89" t="s">
        <v>631</v>
      </c>
      <c r="C89" t="s">
        <v>632</v>
      </c>
      <c r="D89" t="s">
        <v>633</v>
      </c>
      <c r="E89"/>
      <c r="F89"/>
      <c r="G89" t="s">
        <v>634</v>
      </c>
      <c r="H89" t="s">
        <v>635</v>
      </c>
      <c r="I89"/>
      <c r="J89" t="s">
        <v>636</v>
      </c>
      <c r="K89" t="s">
        <v>637</v>
      </c>
      <c r="L89"/>
      <c r="M89"/>
      <c r="N89"/>
      <c r="O89"/>
      <c r="P89"/>
      <c r="Q89"/>
      <c r="R89"/>
      <c r="S89"/>
      <c r="T89"/>
      <c r="U89"/>
      <c r="V89"/>
      <c r="W89"/>
      <c r="X89"/>
    </row>
    <row r="90" spans="1:24" ht="15">
      <c r="A90" t="s">
        <v>638</v>
      </c>
      <c r="B90" t="s">
        <v>639</v>
      </c>
      <c r="C90" t="s">
        <v>640</v>
      </c>
      <c r="D90"/>
      <c r="E90" t="s">
        <v>641</v>
      </c>
      <c r="F90" t="s">
        <v>623</v>
      </c>
      <c r="G90"/>
      <c r="H90"/>
      <c r="I90" t="s">
        <v>264</v>
      </c>
      <c r="J90"/>
      <c r="K90"/>
      <c r="L90"/>
      <c r="M90"/>
      <c r="N90"/>
      <c r="O90"/>
      <c r="P90"/>
      <c r="Q90"/>
      <c r="R90"/>
      <c r="S90"/>
      <c r="T90"/>
      <c r="U90"/>
      <c r="V90"/>
      <c r="W90"/>
      <c r="X90"/>
    </row>
    <row r="91" spans="1:24" ht="15">
      <c r="A91" t="s">
        <v>642</v>
      </c>
      <c r="B91" t="s">
        <v>643</v>
      </c>
      <c r="C91" t="s">
        <v>644</v>
      </c>
      <c r="D91" t="s">
        <v>645</v>
      </c>
      <c r="E91" t="s">
        <v>646</v>
      </c>
      <c r="F91" t="s">
        <v>37</v>
      </c>
      <c r="G91" t="s">
        <v>647</v>
      </c>
      <c r="H91"/>
      <c r="I91"/>
      <c r="J91"/>
      <c r="K91"/>
      <c r="L91"/>
      <c r="M91"/>
      <c r="N91"/>
      <c r="O91"/>
      <c r="P91"/>
      <c r="Q91"/>
      <c r="R91"/>
      <c r="S91"/>
      <c r="T91"/>
      <c r="U91"/>
      <c r="V91"/>
      <c r="W91"/>
      <c r="X91"/>
    </row>
    <row r="92" spans="1:24" ht="15">
      <c r="A92" t="s">
        <v>648</v>
      </c>
      <c r="B92" t="s">
        <v>649</v>
      </c>
      <c r="C92" t="s">
        <v>650</v>
      </c>
      <c r="D92" t="s">
        <v>159</v>
      </c>
      <c r="E92" t="s">
        <v>651</v>
      </c>
      <c r="F92"/>
      <c r="G92" t="s">
        <v>652</v>
      </c>
      <c r="H92" t="s">
        <v>653</v>
      </c>
      <c r="I92"/>
      <c r="J92"/>
      <c r="K92"/>
      <c r="L92"/>
      <c r="M92"/>
      <c r="N92"/>
      <c r="O92"/>
      <c r="P92"/>
      <c r="Q92"/>
      <c r="R92"/>
      <c r="S92"/>
      <c r="T92"/>
      <c r="U92"/>
      <c r="V92"/>
      <c r="W92"/>
      <c r="X92"/>
    </row>
    <row r="93" spans="1:24" ht="15">
      <c r="A93" t="s">
        <v>654</v>
      </c>
      <c r="B93" t="s">
        <v>655</v>
      </c>
      <c r="C93" t="s">
        <v>656</v>
      </c>
      <c r="D93" t="s">
        <v>37</v>
      </c>
      <c r="E93" t="s">
        <v>657</v>
      </c>
      <c r="F93"/>
      <c r="G93" t="s">
        <v>196</v>
      </c>
      <c r="H93" t="s">
        <v>235</v>
      </c>
      <c r="I93"/>
      <c r="J93"/>
      <c r="K93"/>
      <c r="L93"/>
      <c r="M93"/>
      <c r="N93"/>
      <c r="O93"/>
      <c r="P93"/>
      <c r="Q93"/>
      <c r="R93"/>
      <c r="S93"/>
      <c r="T93"/>
      <c r="U93"/>
      <c r="V93"/>
      <c r="W93"/>
      <c r="X93"/>
    </row>
    <row r="94" spans="1:24" ht="15">
      <c r="A94" t="s">
        <v>658</v>
      </c>
      <c r="B94" t="s">
        <v>659</v>
      </c>
      <c r="C94" t="s">
        <v>660</v>
      </c>
      <c r="D94"/>
      <c r="E94" t="s">
        <v>661</v>
      </c>
      <c r="F94" t="s">
        <v>662</v>
      </c>
      <c r="G94"/>
      <c r="H94"/>
      <c r="I94" t="s">
        <v>210</v>
      </c>
      <c r="J94"/>
      <c r="K94"/>
      <c r="L94"/>
      <c r="M94"/>
      <c r="N94"/>
      <c r="O94"/>
      <c r="P94"/>
      <c r="Q94"/>
      <c r="R94"/>
      <c r="S94"/>
      <c r="T94"/>
      <c r="U94"/>
      <c r="V94"/>
      <c r="W94"/>
      <c r="X94"/>
    </row>
    <row r="95" spans="1:24" ht="15">
      <c r="A95" t="s">
        <v>663</v>
      </c>
      <c r="B95" t="s">
        <v>664</v>
      </c>
      <c r="C95" t="s">
        <v>665</v>
      </c>
      <c r="D95"/>
      <c r="E95" t="s">
        <v>666</v>
      </c>
      <c r="F95" t="s">
        <v>196</v>
      </c>
      <c r="G95"/>
      <c r="H95"/>
      <c r="I95" t="s">
        <v>196</v>
      </c>
      <c r="J95"/>
      <c r="K95"/>
      <c r="L95"/>
      <c r="M95"/>
      <c r="N95"/>
      <c r="O95"/>
      <c r="P95"/>
      <c r="Q95"/>
      <c r="R95"/>
      <c r="S95"/>
      <c r="T95"/>
      <c r="U95"/>
      <c r="V95"/>
      <c r="W95"/>
      <c r="X95"/>
    </row>
    <row r="96" spans="1:24" ht="15">
      <c r="A96" t="s">
        <v>667</v>
      </c>
      <c r="B96" t="s">
        <v>668</v>
      </c>
      <c r="C96" t="s">
        <v>669</v>
      </c>
      <c r="D96" t="s">
        <v>264</v>
      </c>
      <c r="E96">
        <v>46142</v>
      </c>
      <c r="F96" t="s">
        <v>670</v>
      </c>
      <c r="G96" t="s">
        <v>671</v>
      </c>
      <c r="H96"/>
      <c r="I96"/>
      <c r="J96"/>
      <c r="K96"/>
      <c r="L96"/>
      <c r="M96"/>
      <c r="N96"/>
      <c r="O96"/>
      <c r="P96"/>
      <c r="Q96"/>
      <c r="R96"/>
      <c r="S96"/>
      <c r="T96"/>
      <c r="U96"/>
      <c r="V96"/>
      <c r="W96"/>
      <c r="X96"/>
    </row>
    <row r="97" spans="1:24" ht="15">
      <c r="A97" t="s">
        <v>672</v>
      </c>
      <c r="B97" t="s">
        <v>673</v>
      </c>
      <c r="C97" t="s">
        <v>674</v>
      </c>
      <c r="D97"/>
      <c r="E97" t="s">
        <v>675</v>
      </c>
      <c r="F97" t="s">
        <v>676</v>
      </c>
      <c r="G97"/>
      <c r="H97"/>
      <c r="I97" t="s">
        <v>210</v>
      </c>
      <c r="J97"/>
      <c r="K97"/>
      <c r="L97"/>
      <c r="M97"/>
      <c r="N97"/>
      <c r="O97"/>
      <c r="P97"/>
      <c r="Q97"/>
      <c r="R97"/>
      <c r="S97"/>
      <c r="T97"/>
      <c r="U97"/>
      <c r="V97"/>
      <c r="W97"/>
      <c r="X97"/>
    </row>
    <row r="98" spans="1:24" ht="15">
      <c r="A98" t="s">
        <v>677</v>
      </c>
      <c r="B98" t="s">
        <v>678</v>
      </c>
      <c r="C98" t="s">
        <v>679</v>
      </c>
      <c r="D98"/>
      <c r="E98" t="s">
        <v>680</v>
      </c>
      <c r="F98" t="s">
        <v>681</v>
      </c>
      <c r="G98"/>
      <c r="H98"/>
      <c r="I98" t="s">
        <v>264</v>
      </c>
      <c r="J98"/>
      <c r="K98"/>
      <c r="L98"/>
      <c r="M98"/>
      <c r="N98"/>
      <c r="O98"/>
      <c r="P98"/>
      <c r="Q98"/>
      <c r="R98"/>
      <c r="S98"/>
      <c r="T98"/>
      <c r="U98"/>
      <c r="V98"/>
      <c r="W98"/>
      <c r="X98"/>
    </row>
    <row r="99" spans="1:24" ht="15">
      <c r="A99" t="s">
        <v>682</v>
      </c>
      <c r="B99" t="s">
        <v>683</v>
      </c>
      <c r="C99" t="s">
        <v>684</v>
      </c>
      <c r="D99"/>
      <c r="E99" t="s">
        <v>685</v>
      </c>
      <c r="F99" t="s">
        <v>686</v>
      </c>
      <c r="G99"/>
      <c r="H99"/>
      <c r="I99" t="s">
        <v>196</v>
      </c>
      <c r="J99"/>
      <c r="K99"/>
      <c r="L99"/>
      <c r="M99"/>
      <c r="N99"/>
      <c r="O99"/>
      <c r="P99"/>
      <c r="Q99"/>
      <c r="R99"/>
      <c r="S99"/>
      <c r="T99"/>
      <c r="U99"/>
      <c r="V99"/>
      <c r="W99"/>
      <c r="X99"/>
    </row>
    <row r="100" spans="1:24" ht="15">
      <c r="A100" t="s">
        <v>687</v>
      </c>
      <c r="B100" t="s">
        <v>688</v>
      </c>
      <c r="C100" t="s">
        <v>689</v>
      </c>
      <c r="D100"/>
      <c r="E100" t="s">
        <v>690</v>
      </c>
      <c r="F100" t="s">
        <v>196</v>
      </c>
      <c r="G100"/>
      <c r="H100"/>
      <c r="I100" t="s">
        <v>363</v>
      </c>
      <c r="J100"/>
      <c r="K100"/>
      <c r="L100"/>
      <c r="M100"/>
      <c r="N100"/>
      <c r="O100"/>
      <c r="P100"/>
      <c r="Q100"/>
      <c r="R100"/>
      <c r="S100"/>
      <c r="T100"/>
      <c r="U100"/>
      <c r="V100"/>
      <c r="W100"/>
      <c r="X100"/>
    </row>
    <row r="101" spans="1:24" ht="15">
      <c r="A101" t="s">
        <v>691</v>
      </c>
      <c r="B101" t="s">
        <v>692</v>
      </c>
      <c r="C101" t="s">
        <v>693</v>
      </c>
      <c r="D101" t="s">
        <v>694</v>
      </c>
      <c r="E101" t="s">
        <v>646</v>
      </c>
      <c r="F101" t="s">
        <v>37</v>
      </c>
      <c r="G101" t="s">
        <v>695</v>
      </c>
      <c r="H101"/>
      <c r="I101"/>
      <c r="J101"/>
      <c r="K101"/>
      <c r="L101"/>
      <c r="M101"/>
      <c r="N101"/>
      <c r="O101"/>
      <c r="P101"/>
      <c r="Q101"/>
      <c r="R101"/>
      <c r="S101"/>
      <c r="T101"/>
      <c r="U101"/>
      <c r="V101"/>
      <c r="W101"/>
      <c r="X101"/>
    </row>
    <row r="102" spans="1:24" ht="15">
      <c r="A102" t="s">
        <v>696</v>
      </c>
      <c r="B102" t="s">
        <v>697</v>
      </c>
      <c r="C102" t="s">
        <v>698</v>
      </c>
      <c r="D102" t="s">
        <v>196</v>
      </c>
      <c r="E102" t="s">
        <v>235</v>
      </c>
      <c r="F102" t="s">
        <v>159</v>
      </c>
      <c r="G102" t="s">
        <v>699</v>
      </c>
      <c r="H102"/>
      <c r="I102"/>
      <c r="J102"/>
      <c r="K102"/>
      <c r="L102"/>
      <c r="M102"/>
      <c r="N102"/>
      <c r="O102"/>
      <c r="P102"/>
      <c r="Q102"/>
      <c r="R102"/>
      <c r="S102"/>
      <c r="T102"/>
      <c r="U102"/>
      <c r="V102"/>
      <c r="W102"/>
      <c r="X102"/>
    </row>
    <row r="103" spans="1:24" ht="15">
      <c r="A103" t="s">
        <v>700</v>
      </c>
      <c r="B103" t="s">
        <v>492</v>
      </c>
      <c r="C103" t="s">
        <v>701</v>
      </c>
      <c r="D103" t="s">
        <v>196</v>
      </c>
      <c r="E103" t="s">
        <v>235</v>
      </c>
      <c r="F103" t="s">
        <v>159</v>
      </c>
      <c r="G103" t="s">
        <v>702</v>
      </c>
      <c r="H103"/>
      <c r="I103"/>
      <c r="J103"/>
      <c r="K103"/>
      <c r="L103"/>
      <c r="M103"/>
      <c r="N103"/>
      <c r="O103"/>
      <c r="P103"/>
      <c r="Q103"/>
      <c r="R103"/>
      <c r="S103"/>
      <c r="T103"/>
      <c r="U103"/>
      <c r="V103"/>
      <c r="W103"/>
      <c r="X103"/>
    </row>
    <row r="104" spans="1:24" ht="15">
      <c r="A104" t="s">
        <v>703</v>
      </c>
      <c r="B104" t="s">
        <v>704</v>
      </c>
      <c r="C104" t="s">
        <v>705</v>
      </c>
      <c r="D104"/>
      <c r="E104" t="s">
        <v>706</v>
      </c>
      <c r="F104" t="s">
        <v>707</v>
      </c>
      <c r="G104"/>
      <c r="H104"/>
      <c r="I104" t="s">
        <v>363</v>
      </c>
      <c r="J104"/>
      <c r="K104"/>
      <c r="L104"/>
      <c r="M104"/>
      <c r="N104"/>
      <c r="O104"/>
      <c r="P104"/>
      <c r="Q104"/>
      <c r="R104"/>
      <c r="S104"/>
      <c r="T104"/>
      <c r="U104"/>
      <c r="V104"/>
      <c r="W104"/>
      <c r="X104"/>
    </row>
    <row r="105" spans="1:24" ht="15">
      <c r="A105" t="s">
        <v>708</v>
      </c>
      <c r="B105" t="s">
        <v>709</v>
      </c>
      <c r="C105" t="s">
        <v>710</v>
      </c>
      <c r="D105" t="s">
        <v>196</v>
      </c>
      <c r="E105" t="s">
        <v>264</v>
      </c>
      <c r="F105" t="s">
        <v>37</v>
      </c>
      <c r="G105" t="s">
        <v>711</v>
      </c>
      <c r="H105"/>
      <c r="I105"/>
      <c r="J105"/>
      <c r="K105"/>
      <c r="L105"/>
      <c r="M105"/>
      <c r="N105"/>
      <c r="O105"/>
      <c r="P105"/>
      <c r="Q105"/>
      <c r="R105"/>
      <c r="S105"/>
      <c r="T105"/>
      <c r="U105"/>
      <c r="V105"/>
      <c r="W105"/>
      <c r="X105"/>
    </row>
    <row r="106" spans="1:24" ht="15">
      <c r="A106" t="s">
        <v>712</v>
      </c>
      <c r="B106" t="s">
        <v>713</v>
      </c>
      <c r="C106" t="s">
        <v>714</v>
      </c>
      <c r="D106" t="s">
        <v>340</v>
      </c>
      <c r="E106" t="s">
        <v>235</v>
      </c>
      <c r="F106" t="s">
        <v>37</v>
      </c>
      <c r="G106" t="s">
        <v>715</v>
      </c>
      <c r="H106"/>
      <c r="I106"/>
      <c r="J106"/>
      <c r="K106"/>
      <c r="L106"/>
      <c r="M106"/>
      <c r="N106"/>
      <c r="O106"/>
      <c r="P106"/>
      <c r="Q106"/>
      <c r="R106"/>
      <c r="S106"/>
      <c r="T106"/>
      <c r="U106"/>
      <c r="V106"/>
      <c r="W106"/>
      <c r="X106"/>
    </row>
    <row r="107" spans="1:24" ht="15">
      <c r="A107" t="s">
        <v>716</v>
      </c>
      <c r="B107" t="s">
        <v>717</v>
      </c>
      <c r="C107" t="s">
        <v>718</v>
      </c>
      <c r="D107" t="s">
        <v>719</v>
      </c>
      <c r="E107" t="s">
        <v>720</v>
      </c>
      <c r="F107" t="s">
        <v>37</v>
      </c>
      <c r="G107" t="s">
        <v>721</v>
      </c>
      <c r="H107"/>
      <c r="I107"/>
      <c r="J107"/>
      <c r="K107"/>
      <c r="L107"/>
      <c r="M107"/>
      <c r="N107"/>
      <c r="O107"/>
      <c r="P107"/>
      <c r="Q107"/>
      <c r="R107"/>
      <c r="S107"/>
      <c r="T107"/>
      <c r="U107"/>
      <c r="V107"/>
      <c r="W107"/>
      <c r="X107"/>
    </row>
    <row r="108" spans="1:24" ht="15">
      <c r="A108" t="s">
        <v>722</v>
      </c>
      <c r="B108" t="s">
        <v>723</v>
      </c>
      <c r="C108" t="s">
        <v>724</v>
      </c>
      <c r="D108"/>
      <c r="E108" t="s">
        <v>725</v>
      </c>
      <c r="F108" t="s">
        <v>726</v>
      </c>
      <c r="G108"/>
      <c r="H108"/>
      <c r="I108" t="s">
        <v>264</v>
      </c>
      <c r="J108"/>
      <c r="K108"/>
      <c r="L108"/>
      <c r="M108"/>
      <c r="N108"/>
      <c r="O108"/>
      <c r="P108"/>
      <c r="Q108"/>
      <c r="R108"/>
      <c r="S108"/>
      <c r="T108"/>
      <c r="U108"/>
      <c r="V108"/>
      <c r="W108"/>
      <c r="X108"/>
    </row>
    <row r="109" spans="1:24" ht="15">
      <c r="A109" t="s">
        <v>727</v>
      </c>
      <c r="B109" t="s">
        <v>728</v>
      </c>
      <c r="C109" t="s">
        <v>729</v>
      </c>
      <c r="D109" t="s">
        <v>196</v>
      </c>
      <c r="E109" t="s">
        <v>235</v>
      </c>
      <c r="F109" t="s">
        <v>159</v>
      </c>
      <c r="G109" t="s">
        <v>730</v>
      </c>
      <c r="H109"/>
      <c r="I109"/>
      <c r="J109"/>
      <c r="K109"/>
      <c r="L109"/>
      <c r="M109"/>
      <c r="N109"/>
      <c r="O109"/>
      <c r="P109"/>
      <c r="Q109"/>
      <c r="R109"/>
      <c r="S109"/>
      <c r="T109"/>
      <c r="U109"/>
      <c r="V109"/>
      <c r="W109"/>
      <c r="X109"/>
    </row>
    <row r="110" spans="1:24" ht="15">
      <c r="A110" t="s">
        <v>731</v>
      </c>
      <c r="B110" t="s">
        <v>732</v>
      </c>
      <c r="C110" t="s">
        <v>733</v>
      </c>
      <c r="D110"/>
      <c r="E110" t="s">
        <v>734</v>
      </c>
      <c r="F110" t="s">
        <v>735</v>
      </c>
      <c r="G110"/>
      <c r="H110"/>
      <c r="I110" t="s">
        <v>363</v>
      </c>
      <c r="J110"/>
      <c r="K110"/>
      <c r="L110"/>
      <c r="M110"/>
      <c r="N110"/>
      <c r="O110"/>
      <c r="P110"/>
      <c r="Q110"/>
      <c r="R110"/>
      <c r="S110"/>
      <c r="T110"/>
      <c r="U110"/>
      <c r="V110"/>
      <c r="W110"/>
      <c r="X110"/>
    </row>
    <row r="111" spans="1:24" ht="15">
      <c r="A111" t="s">
        <v>44</v>
      </c>
      <c r="B111"/>
      <c r="C111" t="s">
        <v>46</v>
      </c>
      <c r="D111" s="99">
        <v>5000</v>
      </c>
      <c r="E111" t="s">
        <v>83</v>
      </c>
      <c r="F111" s="100">
        <v>46296</v>
      </c>
      <c r="G111" t="s">
        <v>736</v>
      </c>
      <c r="H111"/>
      <c r="I111"/>
      <c r="J111"/>
      <c r="K111"/>
      <c r="L111"/>
      <c r="M111"/>
      <c r="N111"/>
      <c r="O111"/>
      <c r="P111"/>
      <c r="Q111"/>
      <c r="R111"/>
      <c r="S111"/>
      <c r="T111"/>
      <c r="U111"/>
      <c r="V111"/>
      <c r="W111"/>
      <c r="X111"/>
    </row>
    <row r="112" spans="1:24" ht="15">
      <c r="A112" t="s">
        <v>737</v>
      </c>
      <c r="B112" t="s">
        <v>738</v>
      </c>
      <c r="C112" t="s">
        <v>739</v>
      </c>
      <c r="D112" t="s">
        <v>196</v>
      </c>
      <c r="E112" t="s">
        <v>235</v>
      </c>
      <c r="F112" t="s">
        <v>159</v>
      </c>
      <c r="G112" t="s">
        <v>740</v>
      </c>
      <c r="H112"/>
      <c r="I112"/>
      <c r="J112"/>
      <c r="K112"/>
      <c r="L112"/>
      <c r="M112"/>
      <c r="N112"/>
      <c r="O112"/>
      <c r="P112"/>
      <c r="Q112"/>
      <c r="R112"/>
      <c r="S112"/>
      <c r="T112"/>
      <c r="U112"/>
      <c r="V112"/>
      <c r="W112"/>
      <c r="X112"/>
    </row>
    <row r="113" spans="1:24" ht="15">
      <c r="A113" t="s">
        <v>741</v>
      </c>
      <c r="B113" t="s">
        <v>742</v>
      </c>
      <c r="C113" t="s">
        <v>743</v>
      </c>
      <c r="D113" t="s">
        <v>196</v>
      </c>
      <c r="E113" t="s">
        <v>646</v>
      </c>
      <c r="F113" t="s">
        <v>37</v>
      </c>
      <c r="G113" t="s">
        <v>744</v>
      </c>
      <c r="H113"/>
      <c r="I113"/>
      <c r="J113"/>
      <c r="K113"/>
      <c r="L113"/>
      <c r="M113"/>
      <c r="N113"/>
      <c r="O113"/>
      <c r="P113"/>
      <c r="Q113"/>
      <c r="R113"/>
      <c r="S113"/>
      <c r="T113"/>
      <c r="U113"/>
      <c r="V113"/>
      <c r="W113"/>
      <c r="X113"/>
    </row>
    <row r="114" spans="1:24" ht="15">
      <c r="A114" t="s">
        <v>745</v>
      </c>
      <c r="B114" t="s">
        <v>746</v>
      </c>
      <c r="C114" t="s">
        <v>747</v>
      </c>
      <c r="D114" t="s">
        <v>748</v>
      </c>
      <c r="E114" t="s">
        <v>330</v>
      </c>
      <c r="F114" t="s">
        <v>256</v>
      </c>
      <c r="G114" t="s">
        <v>749</v>
      </c>
      <c r="H114"/>
      <c r="I114"/>
      <c r="J114"/>
      <c r="K114"/>
      <c r="L114"/>
      <c r="M114"/>
      <c r="N114"/>
      <c r="O114"/>
      <c r="P114"/>
      <c r="Q114"/>
      <c r="R114"/>
      <c r="S114"/>
      <c r="T114"/>
      <c r="U114"/>
      <c r="V114"/>
      <c r="W114"/>
      <c r="X114"/>
    </row>
    <row r="115" spans="1:24" ht="15">
      <c r="A115" t="s">
        <v>750</v>
      </c>
      <c r="B115" t="s">
        <v>751</v>
      </c>
      <c r="C115" t="s">
        <v>254</v>
      </c>
      <c r="D115" t="s">
        <v>196</v>
      </c>
      <c r="E115" t="s">
        <v>235</v>
      </c>
      <c r="F115" t="s">
        <v>37</v>
      </c>
      <c r="G115" t="s">
        <v>752</v>
      </c>
      <c r="H115"/>
      <c r="I115"/>
      <c r="J115"/>
      <c r="K115"/>
      <c r="L115"/>
      <c r="M115"/>
      <c r="N115"/>
      <c r="O115"/>
      <c r="P115"/>
      <c r="Q115"/>
      <c r="R115"/>
      <c r="S115"/>
      <c r="T115"/>
      <c r="U115"/>
      <c r="V115"/>
      <c r="W115"/>
      <c r="X115"/>
    </row>
    <row r="116" spans="1:24" ht="15">
      <c r="A116" t="s">
        <v>753</v>
      </c>
      <c r="B116" t="s">
        <v>754</v>
      </c>
      <c r="C116" t="s">
        <v>755</v>
      </c>
      <c r="D116"/>
      <c r="E116" t="s">
        <v>756</v>
      </c>
      <c r="F116" t="s">
        <v>490</v>
      </c>
      <c r="G116"/>
      <c r="H116"/>
      <c r="I116" t="s">
        <v>264</v>
      </c>
      <c r="J116"/>
      <c r="K116"/>
      <c r="L116"/>
      <c r="M116"/>
      <c r="N116"/>
      <c r="O116"/>
      <c r="P116"/>
      <c r="Q116"/>
      <c r="R116"/>
      <c r="S116"/>
      <c r="T116"/>
      <c r="U116"/>
      <c r="V116"/>
      <c r="W116"/>
      <c r="X116"/>
    </row>
    <row r="117" spans="1:24" ht="15">
      <c r="A117" t="s">
        <v>757</v>
      </c>
      <c r="B117" t="s">
        <v>758</v>
      </c>
      <c r="C117" t="s">
        <v>759</v>
      </c>
      <c r="D117" t="s">
        <v>760</v>
      </c>
      <c r="E117" t="s">
        <v>196</v>
      </c>
      <c r="F117" t="s">
        <v>761</v>
      </c>
      <c r="G117" t="s">
        <v>762</v>
      </c>
      <c r="H117" t="s">
        <v>763</v>
      </c>
      <c r="I117"/>
      <c r="J117"/>
      <c r="K117"/>
      <c r="L117"/>
      <c r="M117"/>
      <c r="N117"/>
      <c r="O117"/>
      <c r="P117"/>
      <c r="Q117"/>
      <c r="R117"/>
      <c r="S117"/>
      <c r="T117"/>
      <c r="U117"/>
      <c r="V117"/>
      <c r="W117"/>
      <c r="X117"/>
    </row>
    <row r="118" spans="1:24" ht="15">
      <c r="A118" t="s">
        <v>764</v>
      </c>
      <c r="B118" t="s">
        <v>765</v>
      </c>
      <c r="C118" t="s">
        <v>766</v>
      </c>
      <c r="D118"/>
      <c r="E118" t="s">
        <v>767</v>
      </c>
      <c r="F118" t="s">
        <v>119</v>
      </c>
      <c r="G118"/>
      <c r="H118"/>
      <c r="I118" t="s">
        <v>210</v>
      </c>
      <c r="J118"/>
      <c r="K118"/>
      <c r="L118"/>
      <c r="M118"/>
      <c r="N118"/>
      <c r="O118"/>
      <c r="P118"/>
      <c r="Q118"/>
      <c r="R118"/>
      <c r="S118"/>
      <c r="T118"/>
      <c r="U118"/>
      <c r="V118"/>
      <c r="W118"/>
      <c r="X118"/>
    </row>
    <row r="119" spans="1:24" ht="15">
      <c r="A119" t="s">
        <v>768</v>
      </c>
      <c r="B119" t="s">
        <v>769</v>
      </c>
      <c r="C119" t="s">
        <v>770</v>
      </c>
      <c r="D119"/>
      <c r="E119" t="s">
        <v>771</v>
      </c>
      <c r="F119" t="s">
        <v>772</v>
      </c>
      <c r="G119"/>
      <c r="H119"/>
      <c r="I119" t="s">
        <v>210</v>
      </c>
      <c r="J119"/>
      <c r="K119"/>
      <c r="L119"/>
      <c r="M119"/>
      <c r="N119"/>
      <c r="O119"/>
      <c r="P119"/>
      <c r="Q119"/>
      <c r="R119"/>
      <c r="S119"/>
      <c r="T119"/>
      <c r="U119"/>
      <c r="V119"/>
      <c r="W119"/>
      <c r="X119"/>
    </row>
    <row r="120" spans="1:24" ht="15">
      <c r="A120" t="s">
        <v>773</v>
      </c>
      <c r="B120" t="s">
        <v>774</v>
      </c>
      <c r="C120" t="s">
        <v>775</v>
      </c>
      <c r="D120"/>
      <c r="E120" t="s">
        <v>776</v>
      </c>
      <c r="F120" t="s">
        <v>735</v>
      </c>
      <c r="G120"/>
      <c r="H120"/>
      <c r="I120" t="s">
        <v>196</v>
      </c>
      <c r="J120"/>
      <c r="K120"/>
      <c r="L120"/>
      <c r="M120"/>
      <c r="N120"/>
      <c r="O120"/>
      <c r="P120"/>
      <c r="Q120"/>
      <c r="R120"/>
      <c r="S120"/>
      <c r="T120"/>
      <c r="U120"/>
      <c r="V120"/>
      <c r="W120"/>
      <c r="X120"/>
    </row>
    <row r="121" spans="1:24" ht="15">
      <c r="A121" t="s">
        <v>777</v>
      </c>
      <c r="B121" t="s">
        <v>200</v>
      </c>
      <c r="C121" t="s">
        <v>778</v>
      </c>
      <c r="D121" t="s">
        <v>340</v>
      </c>
      <c r="E121" t="s">
        <v>235</v>
      </c>
      <c r="F121" t="s">
        <v>37</v>
      </c>
      <c r="G121" t="s">
        <v>779</v>
      </c>
      <c r="H121"/>
      <c r="I121"/>
      <c r="J121"/>
      <c r="K121"/>
      <c r="L121"/>
      <c r="M121"/>
      <c r="N121"/>
      <c r="O121"/>
      <c r="P121"/>
      <c r="Q121"/>
      <c r="R121"/>
      <c r="S121"/>
      <c r="T121"/>
      <c r="U121"/>
      <c r="V121"/>
      <c r="W121"/>
      <c r="X121"/>
    </row>
    <row r="122" spans="1:24" ht="15">
      <c r="A122" t="s">
        <v>780</v>
      </c>
      <c r="B122" t="s">
        <v>781</v>
      </c>
      <c r="C122" t="s">
        <v>782</v>
      </c>
      <c r="D122"/>
      <c r="E122"/>
      <c r="F122" t="s">
        <v>783</v>
      </c>
      <c r="G122"/>
      <c r="H122"/>
      <c r="I122"/>
      <c r="J122"/>
      <c r="K122"/>
      <c r="L122"/>
      <c r="M122"/>
      <c r="N122"/>
      <c r="O122"/>
      <c r="P122"/>
      <c r="Q122"/>
      <c r="R122"/>
      <c r="S122"/>
      <c r="T122"/>
      <c r="U122"/>
      <c r="V122"/>
      <c r="W122"/>
      <c r="X122"/>
    </row>
    <row r="123" spans="1:24" ht="15">
      <c r="A123" t="s">
        <v>784</v>
      </c>
      <c r="B123" t="s">
        <v>785</v>
      </c>
      <c r="C123" t="s">
        <v>786</v>
      </c>
      <c r="D123" t="s">
        <v>787</v>
      </c>
      <c r="E123" t="s">
        <v>788</v>
      </c>
      <c r="F123" t="s">
        <v>789</v>
      </c>
      <c r="G123" t="s">
        <v>790</v>
      </c>
      <c r="H123" t="s">
        <v>791</v>
      </c>
      <c r="I123"/>
      <c r="J123"/>
      <c r="K123"/>
      <c r="L123"/>
      <c r="M123"/>
      <c r="N123"/>
      <c r="O123"/>
      <c r="P123"/>
      <c r="Q123"/>
      <c r="R123"/>
      <c r="S123"/>
      <c r="T123"/>
      <c r="U123"/>
      <c r="V123"/>
      <c r="W123"/>
      <c r="X123"/>
    </row>
    <row r="124" spans="1:24" ht="15">
      <c r="A124" t="s">
        <v>792</v>
      </c>
      <c r="B124" t="s">
        <v>793</v>
      </c>
      <c r="C124" t="s">
        <v>794</v>
      </c>
      <c r="D124" t="s">
        <v>159</v>
      </c>
      <c r="E124" t="s">
        <v>795</v>
      </c>
      <c r="F124"/>
      <c r="G124" t="s">
        <v>196</v>
      </c>
      <c r="H124" t="s">
        <v>235</v>
      </c>
      <c r="I124"/>
      <c r="J124"/>
      <c r="K124"/>
      <c r="L124"/>
      <c r="M124"/>
      <c r="N124"/>
      <c r="O124"/>
      <c r="P124"/>
      <c r="Q124"/>
      <c r="R124"/>
      <c r="S124"/>
      <c r="T124"/>
      <c r="U124"/>
      <c r="V124"/>
      <c r="W124"/>
      <c r="X124"/>
    </row>
    <row r="125" spans="1:24" ht="15">
      <c r="A125" t="s">
        <v>796</v>
      </c>
      <c r="B125" t="s">
        <v>797</v>
      </c>
      <c r="C125" t="s">
        <v>798</v>
      </c>
      <c r="D125" t="s">
        <v>159</v>
      </c>
      <c r="E125" t="s">
        <v>799</v>
      </c>
      <c r="F125"/>
      <c r="G125" t="s">
        <v>196</v>
      </c>
      <c r="H125" t="s">
        <v>376</v>
      </c>
      <c r="I125"/>
      <c r="J125"/>
      <c r="K125"/>
      <c r="L125"/>
      <c r="M125"/>
      <c r="N125"/>
      <c r="O125"/>
      <c r="P125"/>
      <c r="Q125"/>
      <c r="R125"/>
      <c r="S125"/>
      <c r="T125"/>
      <c r="U125"/>
      <c r="V125"/>
      <c r="W125"/>
      <c r="X125"/>
    </row>
    <row r="126" spans="1:24" ht="15">
      <c r="A126" t="s">
        <v>800</v>
      </c>
      <c r="B126" t="s">
        <v>801</v>
      </c>
      <c r="C126" t="s">
        <v>802</v>
      </c>
      <c r="D126"/>
      <c r="E126" t="s">
        <v>803</v>
      </c>
      <c r="F126" t="s">
        <v>804</v>
      </c>
      <c r="G126"/>
      <c r="H126"/>
      <c r="I126" t="s">
        <v>363</v>
      </c>
      <c r="J126"/>
      <c r="K126"/>
      <c r="L126"/>
      <c r="M126"/>
      <c r="N126"/>
      <c r="O126"/>
      <c r="P126"/>
      <c r="Q126"/>
      <c r="R126"/>
      <c r="S126"/>
      <c r="T126"/>
      <c r="U126"/>
      <c r="V126"/>
      <c r="W126"/>
      <c r="X126"/>
    </row>
    <row r="127" spans="1:24" ht="15">
      <c r="A127" t="s">
        <v>805</v>
      </c>
      <c r="B127"/>
      <c r="C127"/>
      <c r="D127"/>
      <c r="E127" t="s">
        <v>806</v>
      </c>
      <c r="F127"/>
      <c r="G127"/>
      <c r="H127"/>
      <c r="I127"/>
      <c r="J127"/>
      <c r="K127"/>
      <c r="L127"/>
      <c r="M127"/>
      <c r="N127"/>
      <c r="O127"/>
      <c r="P127"/>
      <c r="Q127"/>
      <c r="R127"/>
      <c r="S127"/>
      <c r="T127"/>
      <c r="U127"/>
      <c r="V127"/>
      <c r="W127"/>
      <c r="X127"/>
    </row>
    <row r="128" spans="1:24" ht="15">
      <c r="A128" t="s">
        <v>807</v>
      </c>
      <c r="B128" t="s">
        <v>808</v>
      </c>
      <c r="C128" t="s">
        <v>809</v>
      </c>
      <c r="D128"/>
      <c r="E128" t="s">
        <v>810</v>
      </c>
      <c r="F128" t="s">
        <v>811</v>
      </c>
      <c r="G128"/>
      <c r="H128"/>
      <c r="I128" t="s">
        <v>264</v>
      </c>
      <c r="J128"/>
      <c r="K128"/>
      <c r="L128"/>
      <c r="M128"/>
      <c r="N128"/>
      <c r="O128"/>
      <c r="P128"/>
      <c r="Q128"/>
      <c r="R128"/>
      <c r="S128"/>
      <c r="T128"/>
      <c r="U128"/>
      <c r="V128"/>
      <c r="W128"/>
      <c r="X128"/>
    </row>
    <row r="129" spans="1:24" ht="15">
      <c r="A129" t="s">
        <v>812</v>
      </c>
      <c r="B129" t="s">
        <v>777</v>
      </c>
      <c r="C129" t="s">
        <v>200</v>
      </c>
      <c r="D129" t="s">
        <v>813</v>
      </c>
      <c r="E129" t="s">
        <v>814</v>
      </c>
      <c r="F129"/>
      <c r="G129" t="s">
        <v>815</v>
      </c>
      <c r="H129" t="s">
        <v>376</v>
      </c>
      <c r="I129"/>
      <c r="J129"/>
      <c r="K129"/>
      <c r="L129"/>
      <c r="M129"/>
      <c r="N129"/>
      <c r="O129"/>
      <c r="P129"/>
      <c r="Q129"/>
      <c r="R129"/>
      <c r="S129"/>
      <c r="T129"/>
      <c r="U129"/>
      <c r="V129"/>
      <c r="W129"/>
      <c r="X129"/>
    </row>
    <row r="130" spans="1:24" ht="15">
      <c r="A130" t="s">
        <v>816</v>
      </c>
      <c r="B130" t="s">
        <v>817</v>
      </c>
      <c r="C130" t="s">
        <v>818</v>
      </c>
      <c r="D130" t="s">
        <v>159</v>
      </c>
      <c r="E130" t="s">
        <v>819</v>
      </c>
      <c r="F130"/>
      <c r="G130" t="s">
        <v>820</v>
      </c>
      <c r="H130" t="s">
        <v>264</v>
      </c>
      <c r="I130"/>
      <c r="J130"/>
      <c r="K130"/>
      <c r="L130"/>
      <c r="M130"/>
      <c r="N130"/>
      <c r="O130"/>
      <c r="P130"/>
      <c r="Q130"/>
      <c r="R130"/>
      <c r="S130"/>
      <c r="T130"/>
      <c r="U130"/>
      <c r="V130"/>
      <c r="W130"/>
      <c r="X130"/>
    </row>
    <row r="131" spans="1:24" ht="15">
      <c r="A131" t="s">
        <v>821</v>
      </c>
      <c r="B131" t="s">
        <v>822</v>
      </c>
      <c r="C131" t="s">
        <v>823</v>
      </c>
      <c r="D131" t="s">
        <v>824</v>
      </c>
      <c r="E131" t="s">
        <v>330</v>
      </c>
      <c r="F131" t="s">
        <v>37</v>
      </c>
      <c r="G131" t="s">
        <v>825</v>
      </c>
      <c r="H131"/>
      <c r="I131"/>
      <c r="J131"/>
      <c r="K131"/>
      <c r="L131"/>
      <c r="M131"/>
      <c r="N131"/>
      <c r="O131"/>
      <c r="P131"/>
      <c r="Q131"/>
      <c r="R131"/>
      <c r="S131"/>
      <c r="T131"/>
      <c r="U131"/>
      <c r="V131"/>
      <c r="W131"/>
      <c r="X131"/>
    </row>
    <row r="132" spans="1:24" ht="15">
      <c r="A132" t="s">
        <v>826</v>
      </c>
      <c r="B132" t="s">
        <v>827</v>
      </c>
      <c r="C132" t="s">
        <v>828</v>
      </c>
      <c r="D132" t="s">
        <v>196</v>
      </c>
      <c r="E132" t="s">
        <v>235</v>
      </c>
      <c r="F132" t="s">
        <v>37</v>
      </c>
      <c r="G132" t="s">
        <v>829</v>
      </c>
      <c r="H132"/>
      <c r="I132"/>
      <c r="J132"/>
      <c r="K132"/>
      <c r="L132"/>
      <c r="M132"/>
      <c r="N132"/>
      <c r="O132"/>
      <c r="P132"/>
      <c r="Q132"/>
      <c r="R132"/>
      <c r="S132"/>
      <c r="T132"/>
      <c r="U132"/>
      <c r="V132"/>
      <c r="W132"/>
      <c r="X132"/>
    </row>
    <row r="133" spans="1:24" ht="15">
      <c r="A133" t="s">
        <v>830</v>
      </c>
      <c r="B133" t="s">
        <v>831</v>
      </c>
      <c r="C133" t="s">
        <v>832</v>
      </c>
      <c r="D133" t="s">
        <v>833</v>
      </c>
      <c r="E133" t="s">
        <v>235</v>
      </c>
      <c r="F133" t="s">
        <v>37</v>
      </c>
      <c r="G133" t="s">
        <v>834</v>
      </c>
      <c r="H133"/>
      <c r="I133"/>
      <c r="J133"/>
      <c r="K133"/>
      <c r="L133"/>
      <c r="M133"/>
      <c r="N133"/>
      <c r="O133"/>
      <c r="P133"/>
      <c r="Q133"/>
      <c r="R133"/>
      <c r="S133"/>
      <c r="T133"/>
      <c r="U133"/>
      <c r="V133"/>
      <c r="W133"/>
      <c r="X133"/>
    </row>
    <row r="134" spans="1:24" ht="15">
      <c r="A134" t="s">
        <v>835</v>
      </c>
      <c r="B134" t="s">
        <v>836</v>
      </c>
      <c r="C134" t="s">
        <v>837</v>
      </c>
      <c r="D134"/>
      <c r="E134" t="s">
        <v>838</v>
      </c>
      <c r="F134" t="s">
        <v>839</v>
      </c>
      <c r="G134"/>
      <c r="H134"/>
      <c r="I134" t="s">
        <v>264</v>
      </c>
      <c r="J134"/>
      <c r="K134"/>
      <c r="L134"/>
      <c r="M134"/>
      <c r="N134"/>
      <c r="O134"/>
      <c r="P134"/>
      <c r="Q134"/>
      <c r="R134"/>
      <c r="S134"/>
      <c r="T134"/>
      <c r="U134"/>
      <c r="V134"/>
      <c r="W134"/>
      <c r="X134"/>
    </row>
    <row r="135" spans="1:24" ht="15">
      <c r="A135" t="s">
        <v>840</v>
      </c>
      <c r="B135" t="s">
        <v>836</v>
      </c>
      <c r="C135" t="s">
        <v>841</v>
      </c>
      <c r="D135" t="s">
        <v>37</v>
      </c>
      <c r="E135" t="s">
        <v>842</v>
      </c>
      <c r="F135"/>
      <c r="G135" t="s">
        <v>843</v>
      </c>
      <c r="H135" t="s">
        <v>235</v>
      </c>
      <c r="I135"/>
      <c r="J135"/>
      <c r="K135"/>
      <c r="L135"/>
      <c r="M135"/>
      <c r="N135"/>
      <c r="O135"/>
      <c r="P135"/>
      <c r="Q135"/>
      <c r="R135"/>
      <c r="S135"/>
      <c r="T135"/>
      <c r="U135"/>
      <c r="V135"/>
      <c r="W135"/>
      <c r="X135"/>
    </row>
    <row r="136" spans="1:24" ht="15">
      <c r="A136" t="s">
        <v>844</v>
      </c>
      <c r="B136" t="s">
        <v>845</v>
      </c>
      <c r="C136" t="s">
        <v>846</v>
      </c>
      <c r="D136" t="s">
        <v>196</v>
      </c>
      <c r="E136" t="s">
        <v>235</v>
      </c>
      <c r="F136" t="s">
        <v>37</v>
      </c>
      <c r="G136" t="s">
        <v>847</v>
      </c>
      <c r="H136"/>
      <c r="I136"/>
      <c r="J136"/>
      <c r="K136"/>
      <c r="L136"/>
      <c r="M136"/>
      <c r="N136"/>
      <c r="O136"/>
      <c r="P136"/>
      <c r="Q136"/>
      <c r="R136"/>
      <c r="S136"/>
      <c r="T136"/>
      <c r="U136"/>
      <c r="V136"/>
      <c r="W136"/>
      <c r="X136"/>
    </row>
    <row r="137" spans="1:24" ht="15">
      <c r="A137" t="s">
        <v>848</v>
      </c>
      <c r="B137" t="s">
        <v>849</v>
      </c>
      <c r="C137" t="s">
        <v>850</v>
      </c>
      <c r="D137" t="s">
        <v>196</v>
      </c>
      <c r="E137" t="s">
        <v>264</v>
      </c>
      <c r="F137" t="s">
        <v>37</v>
      </c>
      <c r="G137" t="s">
        <v>851</v>
      </c>
      <c r="H137"/>
      <c r="I137"/>
      <c r="J137"/>
      <c r="K137"/>
      <c r="L137"/>
      <c r="M137"/>
      <c r="N137"/>
      <c r="O137"/>
      <c r="P137"/>
      <c r="Q137"/>
      <c r="R137"/>
      <c r="S137"/>
      <c r="T137"/>
      <c r="U137"/>
      <c r="V137"/>
      <c r="W137"/>
      <c r="X137"/>
    </row>
    <row r="138" spans="1:24" ht="15">
      <c r="A138" t="s">
        <v>852</v>
      </c>
      <c r="B138" t="s">
        <v>853</v>
      </c>
      <c r="C138" t="s">
        <v>854</v>
      </c>
      <c r="D138"/>
      <c r="E138" t="s">
        <v>855</v>
      </c>
      <c r="F138" t="s">
        <v>196</v>
      </c>
      <c r="G138"/>
      <c r="H138"/>
      <c r="I138" t="s">
        <v>264</v>
      </c>
      <c r="J138"/>
      <c r="K138"/>
      <c r="L138"/>
      <c r="M138"/>
      <c r="N138"/>
      <c r="O138"/>
      <c r="P138"/>
      <c r="Q138"/>
      <c r="R138"/>
      <c r="S138"/>
      <c r="T138"/>
      <c r="U138"/>
      <c r="V138"/>
      <c r="W138"/>
      <c r="X138"/>
    </row>
    <row r="139" spans="1:24" ht="15">
      <c r="A139" t="s">
        <v>856</v>
      </c>
      <c r="B139" t="s">
        <v>857</v>
      </c>
      <c r="C139" t="s">
        <v>858</v>
      </c>
      <c r="D139"/>
      <c r="E139" t="s">
        <v>859</v>
      </c>
      <c r="F139" t="s">
        <v>783</v>
      </c>
      <c r="G139" t="s">
        <v>860</v>
      </c>
      <c r="H139"/>
      <c r="I139" t="s">
        <v>264</v>
      </c>
      <c r="J139"/>
      <c r="K139"/>
      <c r="L139"/>
      <c r="M139"/>
      <c r="N139"/>
      <c r="O139"/>
      <c r="P139"/>
      <c r="Q139"/>
      <c r="R139"/>
      <c r="S139"/>
      <c r="T139"/>
      <c r="U139"/>
      <c r="V139"/>
      <c r="W139"/>
      <c r="X139"/>
    </row>
    <row r="140" spans="1:24" ht="15">
      <c r="A140" t="s">
        <v>861</v>
      </c>
      <c r="B140" t="s">
        <v>857</v>
      </c>
      <c r="C140" t="s">
        <v>862</v>
      </c>
      <c r="D140" t="s">
        <v>37</v>
      </c>
      <c r="E140" t="s">
        <v>863</v>
      </c>
      <c r="F140"/>
      <c r="G140" t="s">
        <v>864</v>
      </c>
      <c r="H140" t="s">
        <v>865</v>
      </c>
      <c r="I140"/>
      <c r="J140"/>
      <c r="K140"/>
      <c r="L140"/>
      <c r="M140"/>
      <c r="N140"/>
      <c r="O140"/>
      <c r="P140"/>
      <c r="Q140"/>
      <c r="R140"/>
      <c r="S140"/>
      <c r="T140"/>
      <c r="U140"/>
      <c r="V140"/>
      <c r="W140"/>
      <c r="X140"/>
    </row>
    <row r="141" spans="1:24" ht="15">
      <c r="A141" t="s">
        <v>866</v>
      </c>
      <c r="B141"/>
      <c r="C141"/>
      <c r="D141"/>
      <c r="E141" t="s">
        <v>867</v>
      </c>
      <c r="F141"/>
      <c r="G141"/>
      <c r="H141"/>
      <c r="I141"/>
      <c r="J141"/>
      <c r="K141"/>
      <c r="L141"/>
      <c r="M141"/>
      <c r="N141"/>
      <c r="O141"/>
      <c r="P141"/>
      <c r="Q141"/>
      <c r="R141"/>
      <c r="S141"/>
      <c r="T141"/>
      <c r="U141"/>
      <c r="V141"/>
      <c r="W141"/>
      <c r="X141"/>
    </row>
    <row r="142" spans="1:24" ht="15">
      <c r="A142" t="s">
        <v>868</v>
      </c>
      <c r="B142" t="s">
        <v>869</v>
      </c>
      <c r="C142" t="s">
        <v>870</v>
      </c>
      <c r="D142" t="s">
        <v>196</v>
      </c>
      <c r="E142" t="s">
        <v>871</v>
      </c>
      <c r="F142" t="s">
        <v>159</v>
      </c>
      <c r="G142" t="s">
        <v>872</v>
      </c>
      <c r="H142" t="s">
        <v>873</v>
      </c>
      <c r="I142"/>
      <c r="J142"/>
      <c r="K142"/>
      <c r="L142"/>
      <c r="M142"/>
      <c r="N142"/>
      <c r="O142"/>
      <c r="P142"/>
      <c r="Q142"/>
      <c r="R142"/>
      <c r="S142"/>
      <c r="T142"/>
      <c r="U142"/>
      <c r="V142"/>
      <c r="W142"/>
      <c r="X142"/>
    </row>
    <row r="143" spans="1:24" ht="15">
      <c r="A143" t="s">
        <v>874</v>
      </c>
      <c r="B143" t="s">
        <v>875</v>
      </c>
      <c r="C143" t="s">
        <v>876</v>
      </c>
      <c r="D143" t="s">
        <v>877</v>
      </c>
      <c r="E143" t="s">
        <v>264</v>
      </c>
      <c r="F143" t="s">
        <v>355</v>
      </c>
      <c r="G143" t="s">
        <v>878</v>
      </c>
      <c r="H143"/>
      <c r="I143"/>
      <c r="J143"/>
      <c r="K143"/>
      <c r="L143"/>
      <c r="M143"/>
      <c r="N143"/>
      <c r="O143"/>
      <c r="P143"/>
      <c r="Q143"/>
      <c r="R143"/>
      <c r="S143"/>
      <c r="T143"/>
      <c r="U143"/>
      <c r="V143"/>
      <c r="W143"/>
      <c r="X143"/>
    </row>
    <row r="144" spans="1:24" ht="15">
      <c r="A144" t="s">
        <v>879</v>
      </c>
      <c r="B144"/>
      <c r="C144"/>
      <c r="D144"/>
      <c r="E144" t="s">
        <v>806</v>
      </c>
      <c r="F144"/>
      <c r="G144"/>
      <c r="H144"/>
      <c r="I144"/>
      <c r="J144"/>
      <c r="K144"/>
      <c r="L144"/>
      <c r="M144"/>
      <c r="N144"/>
      <c r="O144"/>
      <c r="P144"/>
      <c r="Q144"/>
      <c r="R144"/>
      <c r="S144"/>
      <c r="T144"/>
      <c r="U144"/>
      <c r="V144"/>
      <c r="W144"/>
      <c r="X144"/>
    </row>
    <row r="145" spans="1:24" ht="15">
      <c r="A145" t="s">
        <v>880</v>
      </c>
      <c r="B145" t="s">
        <v>881</v>
      </c>
      <c r="C145" t="s">
        <v>882</v>
      </c>
      <c r="D145" t="s">
        <v>883</v>
      </c>
      <c r="E145">
        <v>46081</v>
      </c>
      <c r="F145" t="s">
        <v>884</v>
      </c>
      <c r="G145" t="s">
        <v>885</v>
      </c>
      <c r="H145"/>
      <c r="I145"/>
      <c r="J145"/>
      <c r="K145"/>
      <c r="L145"/>
      <c r="M145"/>
      <c r="N145"/>
      <c r="O145"/>
      <c r="P145"/>
      <c r="Q145"/>
      <c r="R145"/>
      <c r="S145"/>
      <c r="T145"/>
      <c r="U145"/>
      <c r="V145"/>
      <c r="W145"/>
      <c r="X145"/>
    </row>
    <row r="146" spans="1:24" ht="15">
      <c r="A146" t="s">
        <v>886</v>
      </c>
      <c r="B146" t="s">
        <v>887</v>
      </c>
      <c r="C146" t="s">
        <v>888</v>
      </c>
      <c r="D146" t="s">
        <v>196</v>
      </c>
      <c r="E146" t="s">
        <v>330</v>
      </c>
      <c r="F146" t="s">
        <v>889</v>
      </c>
      <c r="G146" t="s">
        <v>890</v>
      </c>
      <c r="H146"/>
      <c r="I146"/>
      <c r="J146"/>
      <c r="K146"/>
      <c r="L146"/>
      <c r="M146"/>
      <c r="N146"/>
      <c r="O146"/>
      <c r="P146"/>
      <c r="Q146"/>
      <c r="R146"/>
      <c r="S146"/>
      <c r="T146"/>
      <c r="U146"/>
      <c r="V146"/>
      <c r="W146"/>
      <c r="X146"/>
    </row>
    <row r="147" spans="1:24" ht="15">
      <c r="A147" t="s">
        <v>781</v>
      </c>
      <c r="B147" t="s">
        <v>891</v>
      </c>
      <c r="C147" t="s">
        <v>892</v>
      </c>
      <c r="D147" t="s">
        <v>196</v>
      </c>
      <c r="E147" t="s">
        <v>235</v>
      </c>
      <c r="F147" t="s">
        <v>37</v>
      </c>
      <c r="G147" t="s">
        <v>893</v>
      </c>
      <c r="H147"/>
      <c r="I147"/>
      <c r="J147"/>
      <c r="K147"/>
      <c r="L147"/>
      <c r="M147"/>
      <c r="N147"/>
      <c r="O147"/>
      <c r="P147"/>
      <c r="Q147"/>
      <c r="R147"/>
      <c r="S147"/>
      <c r="T147"/>
      <c r="U147"/>
      <c r="V147"/>
      <c r="W147"/>
      <c r="X147"/>
    </row>
    <row r="148" spans="1:24" ht="15">
      <c r="A148" t="s">
        <v>894</v>
      </c>
      <c r="B148" t="s">
        <v>728</v>
      </c>
      <c r="C148" t="s">
        <v>895</v>
      </c>
      <c r="D148" t="s">
        <v>896</v>
      </c>
      <c r="E148" s="101">
        <v>46065</v>
      </c>
      <c r="F148" t="s">
        <v>37</v>
      </c>
      <c r="G148" t="s">
        <v>897</v>
      </c>
      <c r="H148"/>
      <c r="I148"/>
      <c r="J148"/>
      <c r="K148"/>
      <c r="L148"/>
      <c r="M148"/>
      <c r="N148"/>
      <c r="O148"/>
      <c r="P148"/>
      <c r="Q148"/>
      <c r="R148"/>
      <c r="S148"/>
      <c r="T148"/>
      <c r="U148"/>
      <c r="V148"/>
      <c r="W148"/>
      <c r="X148"/>
    </row>
    <row r="149" spans="1:24" ht="15">
      <c r="A149" t="s">
        <v>898</v>
      </c>
      <c r="B149"/>
      <c r="C149"/>
      <c r="D149"/>
      <c r="E149" t="s">
        <v>504</v>
      </c>
      <c r="F149"/>
      <c r="G149"/>
      <c r="H149"/>
      <c r="I149"/>
      <c r="J149"/>
      <c r="K149"/>
      <c r="L149"/>
      <c r="M149"/>
      <c r="N149"/>
      <c r="O149"/>
      <c r="P149"/>
      <c r="Q149"/>
      <c r="R149"/>
      <c r="S149"/>
      <c r="T149"/>
      <c r="U149"/>
      <c r="V149"/>
      <c r="W149"/>
      <c r="X149"/>
    </row>
    <row r="150" spans="1:24" ht="15">
      <c r="A150" t="s">
        <v>899</v>
      </c>
      <c r="B150"/>
      <c r="C150"/>
      <c r="D150"/>
      <c r="E150" t="s">
        <v>900</v>
      </c>
      <c r="F150"/>
      <c r="G150"/>
      <c r="H150"/>
      <c r="I150"/>
      <c r="J150"/>
      <c r="K150"/>
      <c r="L150"/>
      <c r="M150"/>
      <c r="N150"/>
      <c r="O150"/>
      <c r="P150"/>
      <c r="Q150"/>
      <c r="R150"/>
      <c r="S150"/>
      <c r="T150"/>
      <c r="U150"/>
      <c r="V150"/>
      <c r="W150"/>
      <c r="X150"/>
    </row>
    <row r="151" spans="1:24" ht="15">
      <c r="A151" t="s">
        <v>901</v>
      </c>
      <c r="B151" t="s">
        <v>902</v>
      </c>
      <c r="C151" t="s">
        <v>903</v>
      </c>
      <c r="D151"/>
      <c r="E151" t="s">
        <v>904</v>
      </c>
      <c r="F151" t="s">
        <v>905</v>
      </c>
      <c r="G151"/>
      <c r="H151"/>
      <c r="I151" t="s">
        <v>196</v>
      </c>
      <c r="J151"/>
      <c r="K151"/>
      <c r="L151"/>
      <c r="M151"/>
      <c r="N151"/>
      <c r="O151"/>
      <c r="P151"/>
      <c r="Q151"/>
      <c r="R151"/>
      <c r="S151"/>
      <c r="T151"/>
      <c r="U151"/>
      <c r="V151"/>
      <c r="W151"/>
      <c r="X151"/>
    </row>
    <row r="152" spans="1:24" ht="15">
      <c r="A152" t="s">
        <v>906</v>
      </c>
      <c r="B152" t="s">
        <v>907</v>
      </c>
      <c r="C152" t="s">
        <v>908</v>
      </c>
      <c r="D152"/>
      <c r="E152" t="s">
        <v>909</v>
      </c>
      <c r="F152" t="s">
        <v>910</v>
      </c>
      <c r="G152"/>
      <c r="H152"/>
      <c r="I152" t="s">
        <v>264</v>
      </c>
      <c r="J152"/>
      <c r="K152"/>
      <c r="L152"/>
      <c r="M152"/>
      <c r="N152"/>
      <c r="O152"/>
      <c r="P152"/>
      <c r="Q152"/>
      <c r="R152"/>
      <c r="S152"/>
      <c r="T152"/>
      <c r="U152"/>
      <c r="V152"/>
      <c r="W152"/>
      <c r="X152"/>
    </row>
    <row r="153" spans="1:24" ht="15">
      <c r="A153" t="s">
        <v>81</v>
      </c>
      <c r="B153"/>
      <c r="C153" t="s">
        <v>82</v>
      </c>
      <c r="D153" s="99">
        <v>100000</v>
      </c>
      <c r="E153" t="s">
        <v>83</v>
      </c>
      <c r="F153" s="100">
        <v>46357</v>
      </c>
      <c r="G153" t="s">
        <v>911</v>
      </c>
      <c r="H153"/>
      <c r="I153"/>
      <c r="J153"/>
      <c r="K153"/>
      <c r="L153"/>
      <c r="M153"/>
      <c r="N153"/>
      <c r="O153"/>
      <c r="P153"/>
      <c r="Q153"/>
      <c r="R153"/>
      <c r="S153"/>
      <c r="T153"/>
      <c r="U153"/>
      <c r="V153"/>
      <c r="W153"/>
      <c r="X153"/>
    </row>
    <row r="154" spans="1:24" ht="15">
      <c r="A154" t="s">
        <v>912</v>
      </c>
      <c r="B154" t="s">
        <v>742</v>
      </c>
      <c r="C154" t="s">
        <v>913</v>
      </c>
      <c r="D154" t="s">
        <v>196</v>
      </c>
      <c r="E154" t="s">
        <v>646</v>
      </c>
      <c r="F154" t="s">
        <v>37</v>
      </c>
      <c r="G154" t="s">
        <v>914</v>
      </c>
      <c r="H154"/>
      <c r="I154"/>
      <c r="J154"/>
      <c r="K154"/>
      <c r="L154"/>
      <c r="M154"/>
      <c r="N154"/>
      <c r="O154"/>
      <c r="P154"/>
      <c r="Q154"/>
      <c r="R154"/>
      <c r="S154"/>
      <c r="T154"/>
      <c r="U154"/>
      <c r="V154"/>
      <c r="W154"/>
      <c r="X154"/>
    </row>
    <row r="155" spans="1:24" ht="15">
      <c r="A155" t="s">
        <v>915</v>
      </c>
      <c r="B155" t="s">
        <v>916</v>
      </c>
      <c r="C155" t="s">
        <v>917</v>
      </c>
      <c r="D155"/>
      <c r="E155" t="s">
        <v>918</v>
      </c>
      <c r="F155" t="s">
        <v>919</v>
      </c>
      <c r="G155"/>
      <c r="H155"/>
      <c r="I155" t="s">
        <v>264</v>
      </c>
      <c r="J155"/>
      <c r="K155"/>
      <c r="L155"/>
      <c r="M155"/>
      <c r="N155"/>
      <c r="O155"/>
      <c r="P155"/>
      <c r="Q155"/>
      <c r="R155"/>
      <c r="S155"/>
      <c r="T155"/>
      <c r="U155"/>
      <c r="V155"/>
      <c r="W155"/>
      <c r="X155"/>
    </row>
    <row r="156" spans="1:24" ht="15">
      <c r="A156" t="s">
        <v>920</v>
      </c>
      <c r="B156" t="s">
        <v>916</v>
      </c>
      <c r="C156" t="s">
        <v>921</v>
      </c>
      <c r="D156"/>
      <c r="E156" t="s">
        <v>922</v>
      </c>
      <c r="F156" t="s">
        <v>923</v>
      </c>
      <c r="G156"/>
      <c r="H156"/>
      <c r="I156" t="s">
        <v>264</v>
      </c>
      <c r="J156"/>
      <c r="K156"/>
      <c r="L156"/>
      <c r="M156"/>
      <c r="N156"/>
      <c r="O156"/>
      <c r="P156"/>
      <c r="Q156"/>
      <c r="R156"/>
      <c r="S156"/>
      <c r="T156"/>
      <c r="U156"/>
      <c r="V156"/>
      <c r="W156"/>
      <c r="X156"/>
    </row>
    <row r="157" spans="1:24" ht="15">
      <c r="A157" t="s">
        <v>924</v>
      </c>
      <c r="B157" t="s">
        <v>817</v>
      </c>
      <c r="C157" t="s">
        <v>925</v>
      </c>
      <c r="D157" t="s">
        <v>37</v>
      </c>
      <c r="E157" t="s">
        <v>926</v>
      </c>
      <c r="F157"/>
      <c r="G157" t="s">
        <v>196</v>
      </c>
      <c r="H157" t="s">
        <v>264</v>
      </c>
      <c r="I157"/>
      <c r="J157"/>
      <c r="K157"/>
      <c r="L157"/>
      <c r="M157"/>
      <c r="N157"/>
      <c r="O157"/>
      <c r="P157"/>
      <c r="Q157"/>
      <c r="R157"/>
      <c r="S157"/>
      <c r="T157"/>
      <c r="U157"/>
      <c r="V157"/>
      <c r="W157"/>
      <c r="X157"/>
    </row>
    <row r="158" spans="1:24" ht="15">
      <c r="A158" t="s">
        <v>927</v>
      </c>
      <c r="B158" t="s">
        <v>928</v>
      </c>
      <c r="C158" t="s">
        <v>929</v>
      </c>
      <c r="D158" t="s">
        <v>340</v>
      </c>
      <c r="E158" t="s">
        <v>235</v>
      </c>
      <c r="F158" t="s">
        <v>37</v>
      </c>
      <c r="G158" t="s">
        <v>930</v>
      </c>
      <c r="H158"/>
      <c r="I158"/>
      <c r="J158"/>
      <c r="K158"/>
      <c r="L158"/>
      <c r="M158"/>
      <c r="N158"/>
      <c r="O158"/>
      <c r="P158"/>
      <c r="Q158"/>
      <c r="R158"/>
      <c r="S158"/>
      <c r="T158"/>
      <c r="U158"/>
      <c r="V158"/>
      <c r="W158"/>
      <c r="X158"/>
    </row>
    <row r="159" spans="1:24" ht="15">
      <c r="A159" t="s">
        <v>931</v>
      </c>
      <c r="B159" t="s">
        <v>932</v>
      </c>
      <c r="C159" t="s">
        <v>933</v>
      </c>
      <c r="D159" t="s">
        <v>934</v>
      </c>
      <c r="E159"/>
      <c r="F159"/>
      <c r="G159" t="s">
        <v>935</v>
      </c>
      <c r="H159" t="s">
        <v>936</v>
      </c>
      <c r="I159"/>
      <c r="J159" t="s">
        <v>937</v>
      </c>
      <c r="K159" t="s">
        <v>938</v>
      </c>
      <c r="L159"/>
      <c r="M159"/>
      <c r="N159"/>
      <c r="O159"/>
      <c r="P159"/>
      <c r="Q159"/>
      <c r="R159"/>
      <c r="S159"/>
      <c r="T159"/>
      <c r="U159"/>
      <c r="V159"/>
      <c r="W159"/>
      <c r="X159"/>
    </row>
    <row r="160" spans="1:24" ht="15">
      <c r="A160" t="s">
        <v>939</v>
      </c>
      <c r="B160" t="s">
        <v>940</v>
      </c>
      <c r="C160" t="s">
        <v>941</v>
      </c>
      <c r="D160"/>
      <c r="E160" t="s">
        <v>942</v>
      </c>
      <c r="F160" t="s">
        <v>943</v>
      </c>
      <c r="G160"/>
      <c r="H160"/>
      <c r="I160" t="s">
        <v>363</v>
      </c>
      <c r="J160"/>
      <c r="K160"/>
      <c r="L160"/>
      <c r="M160"/>
      <c r="N160"/>
      <c r="O160"/>
      <c r="P160"/>
      <c r="Q160"/>
      <c r="R160"/>
      <c r="S160"/>
      <c r="T160"/>
      <c r="U160"/>
      <c r="V160"/>
      <c r="W160"/>
      <c r="X160"/>
    </row>
    <row r="161" spans="1:24" ht="15">
      <c r="A161" t="s">
        <v>944</v>
      </c>
      <c r="B161" t="s">
        <v>945</v>
      </c>
      <c r="C161" t="s">
        <v>946</v>
      </c>
      <c r="D161" t="s">
        <v>37</v>
      </c>
      <c r="E161" t="s">
        <v>947</v>
      </c>
      <c r="F161"/>
      <c r="G161" t="s">
        <v>948</v>
      </c>
      <c r="H161" t="s">
        <v>949</v>
      </c>
      <c r="I161"/>
      <c r="J161"/>
      <c r="K161"/>
      <c r="L161"/>
      <c r="M161"/>
      <c r="N161"/>
      <c r="O161"/>
      <c r="P161"/>
      <c r="Q161"/>
      <c r="R161"/>
      <c r="S161"/>
      <c r="T161"/>
      <c r="U161"/>
      <c r="V161"/>
      <c r="W161"/>
      <c r="X161"/>
    </row>
    <row r="162" spans="1:24" ht="15">
      <c r="A162" t="s">
        <v>950</v>
      </c>
      <c r="B162" t="s">
        <v>951</v>
      </c>
      <c r="C162" t="s">
        <v>952</v>
      </c>
      <c r="D162" t="s">
        <v>159</v>
      </c>
      <c r="E162" t="s">
        <v>953</v>
      </c>
      <c r="F162"/>
      <c r="G162" t="s">
        <v>954</v>
      </c>
      <c r="H162" t="s">
        <v>235</v>
      </c>
      <c r="I162"/>
      <c r="J162"/>
      <c r="K162"/>
      <c r="L162"/>
      <c r="M162"/>
      <c r="N162"/>
      <c r="O162"/>
      <c r="P162"/>
      <c r="Q162"/>
      <c r="R162"/>
      <c r="S162"/>
      <c r="T162"/>
      <c r="U162"/>
      <c r="V162"/>
      <c r="W162"/>
      <c r="X162"/>
    </row>
    <row r="163" spans="1:24" ht="15">
      <c r="A163" t="s">
        <v>955</v>
      </c>
      <c r="B163" t="s">
        <v>956</v>
      </c>
      <c r="C163" t="s">
        <v>957</v>
      </c>
      <c r="D163" t="s">
        <v>159</v>
      </c>
      <c r="E163" t="s">
        <v>958</v>
      </c>
      <c r="F163"/>
      <c r="G163" t="s">
        <v>959</v>
      </c>
      <c r="H163" t="s">
        <v>376</v>
      </c>
      <c r="I163"/>
      <c r="J163"/>
      <c r="K163"/>
      <c r="L163"/>
      <c r="M163"/>
      <c r="N163"/>
      <c r="O163"/>
      <c r="P163"/>
      <c r="Q163"/>
      <c r="R163"/>
      <c r="S163"/>
      <c r="T163"/>
      <c r="U163"/>
      <c r="V163"/>
      <c r="W163"/>
      <c r="X163"/>
    </row>
    <row r="164" spans="1:24" ht="15">
      <c r="A164" t="s">
        <v>960</v>
      </c>
      <c r="B164" t="s">
        <v>961</v>
      </c>
      <c r="C164" t="s">
        <v>962</v>
      </c>
      <c r="D164"/>
      <c r="E164" t="s">
        <v>963</v>
      </c>
      <c r="F164" t="s">
        <v>964</v>
      </c>
      <c r="G164"/>
      <c r="H164"/>
      <c r="I164" t="s">
        <v>210</v>
      </c>
      <c r="J164"/>
      <c r="K164"/>
      <c r="L164"/>
      <c r="M164"/>
      <c r="N164"/>
      <c r="O164"/>
      <c r="P164"/>
      <c r="Q164"/>
      <c r="R164"/>
      <c r="S164"/>
      <c r="T164"/>
      <c r="U164"/>
      <c r="V164"/>
      <c r="W164"/>
      <c r="X164"/>
    </row>
    <row r="165" spans="1:24" ht="15">
      <c r="A165" t="s">
        <v>965</v>
      </c>
      <c r="B165" t="s">
        <v>966</v>
      </c>
      <c r="C165" t="s">
        <v>967</v>
      </c>
      <c r="D165" t="s">
        <v>256</v>
      </c>
      <c r="E165" t="s">
        <v>968</v>
      </c>
      <c r="F165"/>
      <c r="G165" t="s">
        <v>969</v>
      </c>
      <c r="H165" t="s">
        <v>646</v>
      </c>
      <c r="I165"/>
      <c r="J165"/>
      <c r="K165"/>
      <c r="L165"/>
      <c r="M165"/>
      <c r="N165"/>
      <c r="O165"/>
      <c r="P165"/>
      <c r="Q165"/>
      <c r="R165"/>
      <c r="S165"/>
      <c r="T165"/>
      <c r="U165"/>
      <c r="V165"/>
      <c r="W165"/>
      <c r="X165"/>
    </row>
    <row r="166" spans="1:24" ht="15">
      <c r="A166" t="s">
        <v>970</v>
      </c>
      <c r="B166" t="s">
        <v>971</v>
      </c>
      <c r="C166" t="s">
        <v>972</v>
      </c>
      <c r="D166"/>
      <c r="E166" t="s">
        <v>973</v>
      </c>
      <c r="F166" t="s">
        <v>974</v>
      </c>
      <c r="G166"/>
      <c r="H166"/>
      <c r="I166" t="s">
        <v>196</v>
      </c>
      <c r="J166"/>
      <c r="K166"/>
      <c r="L166"/>
      <c r="M166"/>
      <c r="N166"/>
      <c r="O166"/>
      <c r="P166"/>
      <c r="Q166"/>
      <c r="R166"/>
      <c r="S166"/>
      <c r="T166"/>
      <c r="U166"/>
      <c r="V166"/>
      <c r="W166"/>
      <c r="X166"/>
    </row>
    <row r="167" spans="1:24" ht="15">
      <c r="A167" t="s">
        <v>975</v>
      </c>
      <c r="B167" t="s">
        <v>886</v>
      </c>
      <c r="C167" t="s">
        <v>887</v>
      </c>
      <c r="D167" t="s">
        <v>976</v>
      </c>
      <c r="E167" t="s">
        <v>977</v>
      </c>
      <c r="F167"/>
      <c r="G167" t="s">
        <v>978</v>
      </c>
      <c r="H167" t="s">
        <v>235</v>
      </c>
      <c r="I167"/>
      <c r="J167"/>
      <c r="K167"/>
      <c r="L167"/>
      <c r="M167"/>
      <c r="N167"/>
      <c r="O167"/>
      <c r="P167"/>
      <c r="Q167"/>
      <c r="R167"/>
      <c r="S167"/>
      <c r="T167"/>
      <c r="U167"/>
      <c r="V167"/>
      <c r="W167"/>
      <c r="X167"/>
    </row>
    <row r="168" spans="1:24" ht="15">
      <c r="A168" t="s">
        <v>979</v>
      </c>
      <c r="B168" t="s">
        <v>980</v>
      </c>
      <c r="C168" t="s">
        <v>981</v>
      </c>
      <c r="D168" t="s">
        <v>159</v>
      </c>
      <c r="E168" t="s">
        <v>982</v>
      </c>
      <c r="F168"/>
      <c r="G168" t="s">
        <v>196</v>
      </c>
      <c r="H168" t="s">
        <v>196</v>
      </c>
      <c r="I168"/>
      <c r="J168"/>
      <c r="K168"/>
      <c r="L168"/>
      <c r="M168"/>
      <c r="N168"/>
      <c r="O168"/>
      <c r="P168"/>
      <c r="Q168"/>
      <c r="R168"/>
      <c r="S168"/>
      <c r="T168"/>
      <c r="U168"/>
      <c r="V168"/>
      <c r="W168"/>
      <c r="X168"/>
    </row>
    <row r="169" spans="1:24" ht="15">
      <c r="A169" t="s">
        <v>983</v>
      </c>
      <c r="B169" t="s">
        <v>984</v>
      </c>
      <c r="C169" t="s">
        <v>985</v>
      </c>
      <c r="D169" t="s">
        <v>159</v>
      </c>
      <c r="E169" t="s">
        <v>986</v>
      </c>
      <c r="F169"/>
      <c r="G169" t="s">
        <v>987</v>
      </c>
      <c r="H169" t="s">
        <v>235</v>
      </c>
      <c r="I169"/>
      <c r="J169"/>
      <c r="K169"/>
      <c r="L169"/>
      <c r="M169"/>
      <c r="N169"/>
      <c r="O169"/>
      <c r="P169"/>
      <c r="Q169"/>
      <c r="R169"/>
      <c r="S169"/>
      <c r="T169"/>
      <c r="U169"/>
      <c r="V169"/>
      <c r="W169"/>
      <c r="X169"/>
    </row>
    <row r="170" spans="1:24" ht="15">
      <c r="A170" t="s">
        <v>988</v>
      </c>
      <c r="B170" t="s">
        <v>989</v>
      </c>
      <c r="C170" t="s">
        <v>990</v>
      </c>
      <c r="D170" t="s">
        <v>159</v>
      </c>
      <c r="E170" t="s">
        <v>991</v>
      </c>
      <c r="F170"/>
      <c r="G170" t="s">
        <v>550</v>
      </c>
      <c r="H170" t="s">
        <v>376</v>
      </c>
      <c r="I170"/>
      <c r="J170"/>
      <c r="K170"/>
      <c r="L170"/>
      <c r="M170"/>
      <c r="N170"/>
      <c r="O170"/>
      <c r="P170"/>
      <c r="Q170"/>
      <c r="R170"/>
      <c r="S170"/>
      <c r="T170"/>
      <c r="U170"/>
      <c r="V170"/>
      <c r="W170"/>
      <c r="X170"/>
    </row>
    <row r="171" spans="1:24" ht="15">
      <c r="A171" t="s">
        <v>992</v>
      </c>
      <c r="B171" t="s">
        <v>993</v>
      </c>
      <c r="C171" t="s">
        <v>994</v>
      </c>
      <c r="D171" t="s">
        <v>995</v>
      </c>
      <c r="E171" t="s">
        <v>996</v>
      </c>
      <c r="F171"/>
      <c r="G171" t="s">
        <v>550</v>
      </c>
      <c r="H171" t="s">
        <v>235</v>
      </c>
      <c r="I171"/>
      <c r="J171"/>
      <c r="K171"/>
      <c r="L171"/>
      <c r="M171"/>
      <c r="N171"/>
      <c r="O171"/>
      <c r="P171"/>
      <c r="Q171"/>
      <c r="R171"/>
      <c r="S171"/>
      <c r="T171"/>
      <c r="U171"/>
      <c r="V171"/>
      <c r="W171"/>
      <c r="X171"/>
    </row>
    <row r="172" spans="1:24" ht="15">
      <c r="A172" t="s">
        <v>997</v>
      </c>
      <c r="B172" t="s">
        <v>998</v>
      </c>
      <c r="C172" t="s">
        <v>999</v>
      </c>
      <c r="D172" t="s">
        <v>37</v>
      </c>
      <c r="E172" t="s">
        <v>1000</v>
      </c>
      <c r="F172"/>
      <c r="G172" t="s">
        <v>196</v>
      </c>
      <c r="H172" t="s">
        <v>646</v>
      </c>
      <c r="I172"/>
      <c r="J172"/>
      <c r="K172"/>
      <c r="L172"/>
      <c r="M172"/>
      <c r="N172"/>
      <c r="O172"/>
      <c r="P172"/>
      <c r="Q172"/>
      <c r="R172"/>
      <c r="S172"/>
      <c r="T172"/>
      <c r="U172"/>
      <c r="V172"/>
      <c r="W172"/>
      <c r="X172"/>
    </row>
    <row r="173" spans="1:24" ht="15">
      <c r="A173" t="s">
        <v>1001</v>
      </c>
      <c r="B173"/>
      <c r="C173" t="s">
        <v>1002</v>
      </c>
      <c r="D173"/>
      <c r="E173" t="s">
        <v>1003</v>
      </c>
      <c r="F173" t="s">
        <v>1004</v>
      </c>
      <c r="G173"/>
      <c r="H173"/>
      <c r="I173" t="s">
        <v>1005</v>
      </c>
      <c r="J173"/>
      <c r="K173"/>
      <c r="L173"/>
      <c r="M173"/>
      <c r="N173"/>
      <c r="O173"/>
      <c r="P173"/>
      <c r="Q173"/>
      <c r="R173"/>
      <c r="S173"/>
      <c r="T173"/>
      <c r="U173"/>
      <c r="V173"/>
      <c r="W173"/>
      <c r="X173"/>
    </row>
    <row r="174" spans="1:24" ht="15">
      <c r="A174" t="s">
        <v>1006</v>
      </c>
      <c r="B174" t="s">
        <v>998</v>
      </c>
      <c r="C174" t="s">
        <v>1007</v>
      </c>
      <c r="D174"/>
      <c r="E174" t="s">
        <v>1008</v>
      </c>
      <c r="F174" t="s">
        <v>1009</v>
      </c>
      <c r="G174"/>
      <c r="H174"/>
      <c r="I174" t="s">
        <v>264</v>
      </c>
      <c r="J174"/>
      <c r="K174"/>
      <c r="L174"/>
      <c r="M174"/>
      <c r="N174"/>
      <c r="O174"/>
      <c r="P174"/>
      <c r="Q174"/>
      <c r="R174"/>
      <c r="S174"/>
      <c r="T174"/>
      <c r="U174"/>
      <c r="V174"/>
      <c r="W174"/>
      <c r="X174"/>
    </row>
    <row r="175" spans="1:24" ht="15">
      <c r="A175" t="s">
        <v>1010</v>
      </c>
      <c r="B175" t="s">
        <v>998</v>
      </c>
      <c r="C175" t="s">
        <v>1011</v>
      </c>
      <c r="D175"/>
      <c r="E175" t="s">
        <v>1012</v>
      </c>
      <c r="F175" t="s">
        <v>1013</v>
      </c>
      <c r="G175"/>
      <c r="H175"/>
      <c r="I175" t="s">
        <v>264</v>
      </c>
      <c r="J175"/>
      <c r="K175"/>
      <c r="L175"/>
      <c r="M175"/>
      <c r="N175"/>
      <c r="O175"/>
      <c r="P175"/>
      <c r="Q175"/>
      <c r="R175"/>
      <c r="S175"/>
      <c r="T175"/>
      <c r="U175"/>
      <c r="V175"/>
      <c r="W175"/>
      <c r="X175"/>
    </row>
    <row r="176" spans="1:24" ht="15">
      <c r="A176" t="s">
        <v>1014</v>
      </c>
      <c r="B176" t="s">
        <v>1015</v>
      </c>
      <c r="C176" t="s">
        <v>1016</v>
      </c>
      <c r="D176"/>
      <c r="E176" t="s">
        <v>1017</v>
      </c>
      <c r="F176" t="s">
        <v>1018</v>
      </c>
      <c r="G176"/>
      <c r="H176"/>
      <c r="I176" t="s">
        <v>264</v>
      </c>
      <c r="J176"/>
      <c r="K176"/>
      <c r="L176"/>
      <c r="M176"/>
      <c r="N176"/>
      <c r="O176"/>
      <c r="P176"/>
      <c r="Q176"/>
      <c r="R176"/>
      <c r="S176"/>
      <c r="T176"/>
      <c r="U176"/>
      <c r="V176"/>
      <c r="W176"/>
      <c r="X176"/>
    </row>
    <row r="177" spans="1:24" ht="15">
      <c r="A177" t="s">
        <v>1019</v>
      </c>
      <c r="B177" t="s">
        <v>1020</v>
      </c>
      <c r="C177" t="s">
        <v>1021</v>
      </c>
      <c r="D177" t="s">
        <v>1022</v>
      </c>
      <c r="E177">
        <v>46059</v>
      </c>
      <c r="F177" t="s">
        <v>1023</v>
      </c>
      <c r="G177" t="s">
        <v>1024</v>
      </c>
      <c r="H177" t="s">
        <v>1025</v>
      </c>
      <c r="I177"/>
      <c r="J177"/>
      <c r="K177"/>
      <c r="L177"/>
      <c r="M177"/>
      <c r="N177"/>
      <c r="O177"/>
      <c r="P177"/>
      <c r="Q177"/>
      <c r="R177"/>
      <c r="S177"/>
      <c r="T177"/>
      <c r="U177"/>
      <c r="V177"/>
      <c r="W177"/>
      <c r="X177"/>
    </row>
    <row r="178" spans="1:24" ht="15">
      <c r="A178" t="s">
        <v>1026</v>
      </c>
      <c r="B178" t="s">
        <v>1027</v>
      </c>
      <c r="C178" t="s">
        <v>1028</v>
      </c>
      <c r="D178" t="s">
        <v>196</v>
      </c>
      <c r="E178" t="s">
        <v>1029</v>
      </c>
      <c r="F178" t="s">
        <v>37</v>
      </c>
      <c r="G178" t="s">
        <v>1030</v>
      </c>
      <c r="H178"/>
      <c r="I178"/>
      <c r="J178"/>
      <c r="K178"/>
      <c r="L178"/>
      <c r="M178"/>
      <c r="N178"/>
      <c r="O178"/>
      <c r="P178"/>
      <c r="Q178"/>
      <c r="R178"/>
      <c r="S178"/>
      <c r="T178"/>
      <c r="U178"/>
      <c r="V178"/>
      <c r="W178"/>
      <c r="X178"/>
    </row>
    <row r="179" spans="1:24" ht="15">
      <c r="A179" t="s">
        <v>1031</v>
      </c>
      <c r="B179" t="s">
        <v>1032</v>
      </c>
      <c r="C179" t="s">
        <v>1033</v>
      </c>
      <c r="D179" t="s">
        <v>1034</v>
      </c>
      <c r="E179" t="s">
        <v>235</v>
      </c>
      <c r="F179" t="s">
        <v>37</v>
      </c>
      <c r="G179" t="s">
        <v>1035</v>
      </c>
      <c r="H179" t="s">
        <v>1036</v>
      </c>
      <c r="I179"/>
      <c r="J179"/>
      <c r="K179"/>
      <c r="L179"/>
      <c r="M179"/>
      <c r="N179"/>
      <c r="O179"/>
      <c r="P179"/>
      <c r="Q179"/>
      <c r="R179"/>
      <c r="S179"/>
      <c r="T179"/>
      <c r="U179"/>
      <c r="V179"/>
      <c r="W179"/>
      <c r="X179"/>
    </row>
    <row r="180" spans="1:24" ht="15">
      <c r="A180" t="s">
        <v>1037</v>
      </c>
      <c r="B180"/>
      <c r="C180" t="s">
        <v>1038</v>
      </c>
      <c r="D180"/>
      <c r="E180" t="s">
        <v>1039</v>
      </c>
      <c r="F180" t="s">
        <v>1040</v>
      </c>
      <c r="G180"/>
      <c r="H180"/>
      <c r="I180"/>
      <c r="J180" t="s">
        <v>1041</v>
      </c>
      <c r="K180"/>
      <c r="L180"/>
      <c r="M180"/>
      <c r="N180"/>
      <c r="O180"/>
      <c r="P180"/>
      <c r="Q180"/>
      <c r="R180"/>
      <c r="S180"/>
      <c r="T180"/>
      <c r="U180"/>
      <c r="V180"/>
      <c r="W180"/>
      <c r="X180"/>
    </row>
    <row r="181" spans="1:24" ht="15">
      <c r="A181" t="s">
        <v>40</v>
      </c>
      <c r="B181"/>
      <c r="C181" t="s">
        <v>42</v>
      </c>
      <c r="D181" s="99">
        <v>100000</v>
      </c>
      <c r="E181" t="s">
        <v>83</v>
      </c>
      <c r="F181" s="100">
        <v>46296</v>
      </c>
      <c r="G181"/>
      <c r="H181"/>
      <c r="I181"/>
      <c r="J181"/>
      <c r="K181"/>
      <c r="L181"/>
      <c r="M181"/>
      <c r="N181"/>
      <c r="O181"/>
      <c r="P181"/>
      <c r="Q181"/>
      <c r="R181"/>
      <c r="S181"/>
      <c r="T181"/>
      <c r="U181"/>
      <c r="V181"/>
      <c r="W181"/>
      <c r="X181"/>
    </row>
    <row r="182" spans="1:24" s="61" customFormat="1" ht="15">
      <c r="A182" t="s">
        <v>1042</v>
      </c>
      <c r="B182"/>
      <c r="C182"/>
      <c r="D182"/>
      <c r="E182" t="s">
        <v>504</v>
      </c>
      <c r="F182"/>
      <c r="G182"/>
      <c r="H182"/>
      <c r="I182"/>
      <c r="J182"/>
      <c r="K182"/>
      <c r="L182"/>
      <c r="M182"/>
      <c r="N182"/>
      <c r="O182"/>
      <c r="P182"/>
      <c r="Q182"/>
      <c r="R182"/>
      <c r="S182"/>
      <c r="T182"/>
      <c r="U182"/>
      <c r="V182"/>
      <c r="W182"/>
      <c r="X182"/>
    </row>
    <row r="183" spans="1:24" s="61" customFormat="1" ht="15">
      <c r="A183" t="s">
        <v>1043</v>
      </c>
      <c r="B183"/>
      <c r="C183"/>
      <c r="D183"/>
      <c r="E183" t="s">
        <v>900</v>
      </c>
      <c r="F183"/>
      <c r="G183"/>
      <c r="H183"/>
      <c r="I183"/>
      <c r="J183"/>
      <c r="K183"/>
      <c r="L183"/>
      <c r="M183"/>
      <c r="N183"/>
      <c r="O183"/>
      <c r="P183"/>
      <c r="Q183"/>
      <c r="R183"/>
      <c r="S183"/>
      <c r="T183"/>
      <c r="U183"/>
      <c r="V183"/>
      <c r="W183"/>
      <c r="X183"/>
    </row>
    <row r="184" spans="1:24" ht="15">
      <c r="A184" t="s">
        <v>1044</v>
      </c>
      <c r="B184" t="s">
        <v>1045</v>
      </c>
      <c r="C184" t="s">
        <v>1046</v>
      </c>
      <c r="D184" t="s">
        <v>196</v>
      </c>
      <c r="E184" t="s">
        <v>330</v>
      </c>
      <c r="F184" t="s">
        <v>37</v>
      </c>
      <c r="G184" t="s">
        <v>1047</v>
      </c>
      <c r="H184"/>
      <c r="I184"/>
      <c r="J184"/>
      <c r="K184"/>
      <c r="L184"/>
      <c r="M184"/>
      <c r="N184"/>
      <c r="O184"/>
      <c r="P184"/>
      <c r="Q184"/>
      <c r="R184"/>
      <c r="S184"/>
      <c r="T184"/>
      <c r="U184"/>
      <c r="V184"/>
      <c r="W184"/>
      <c r="X184"/>
    </row>
    <row r="185" spans="1:24" ht="15">
      <c r="A185" t="s">
        <v>1048</v>
      </c>
      <c r="B185" t="s">
        <v>1049</v>
      </c>
      <c r="C185" t="s">
        <v>1050</v>
      </c>
      <c r="D185" t="s">
        <v>196</v>
      </c>
      <c r="E185" t="s">
        <v>1051</v>
      </c>
      <c r="F185" t="s">
        <v>37</v>
      </c>
      <c r="G185" t="s">
        <v>1052</v>
      </c>
      <c r="H185"/>
      <c r="I185"/>
      <c r="J185"/>
      <c r="K185"/>
      <c r="L185"/>
      <c r="M185"/>
      <c r="N185"/>
      <c r="O185"/>
      <c r="P185"/>
      <c r="Q185"/>
      <c r="R185"/>
      <c r="S185"/>
      <c r="T185"/>
      <c r="U185"/>
      <c r="V185"/>
      <c r="W185"/>
      <c r="X185"/>
    </row>
    <row r="186" spans="1:24" ht="15">
      <c r="A186" t="s">
        <v>1053</v>
      </c>
      <c r="B186" t="s">
        <v>1054</v>
      </c>
      <c r="C186" t="s">
        <v>1055</v>
      </c>
      <c r="D186">
        <v>20000</v>
      </c>
      <c r="E186">
        <v>46112</v>
      </c>
      <c r="F186" t="s">
        <v>37</v>
      </c>
      <c r="G186" t="s">
        <v>1056</v>
      </c>
      <c r="H186"/>
      <c r="I186"/>
      <c r="J186"/>
      <c r="K186"/>
      <c r="L186"/>
      <c r="M186"/>
      <c r="N186"/>
      <c r="O186"/>
      <c r="P186"/>
      <c r="Q186"/>
      <c r="R186"/>
      <c r="S186"/>
      <c r="T186"/>
      <c r="U186"/>
      <c r="V186"/>
      <c r="W186"/>
      <c r="X186"/>
    </row>
    <row r="187" spans="1:24" ht="15">
      <c r="A187" t="s">
        <v>1057</v>
      </c>
      <c r="B187" t="s">
        <v>1058</v>
      </c>
      <c r="C187" t="s">
        <v>1059</v>
      </c>
      <c r="D187" t="s">
        <v>196</v>
      </c>
      <c r="E187" t="s">
        <v>264</v>
      </c>
      <c r="F187" t="s">
        <v>37</v>
      </c>
      <c r="G187" t="s">
        <v>1060</v>
      </c>
      <c r="H187"/>
      <c r="I187"/>
      <c r="J187"/>
      <c r="K187"/>
      <c r="L187"/>
      <c r="M187"/>
      <c r="N187"/>
      <c r="O187"/>
      <c r="P187"/>
      <c r="Q187"/>
      <c r="R187"/>
      <c r="S187"/>
      <c r="T187"/>
      <c r="U187"/>
      <c r="V187"/>
      <c r="W187"/>
      <c r="X187"/>
    </row>
    <row r="188" spans="1:24" ht="15">
      <c r="A188" t="s">
        <v>1061</v>
      </c>
      <c r="B188"/>
      <c r="C188" t="s">
        <v>1062</v>
      </c>
      <c r="D188"/>
      <c r="E188" t="s">
        <v>1063</v>
      </c>
      <c r="F188"/>
      <c r="G188" t="s">
        <v>911</v>
      </c>
      <c r="H188"/>
      <c r="I188"/>
      <c r="J188"/>
      <c r="K188"/>
      <c r="L188"/>
      <c r="M188"/>
      <c r="N188"/>
      <c r="O188"/>
      <c r="P188"/>
      <c r="Q188"/>
      <c r="R188"/>
      <c r="S188"/>
      <c r="T188"/>
      <c r="U188"/>
      <c r="V188"/>
      <c r="W188"/>
      <c r="X188"/>
    </row>
    <row r="189" spans="1:24" ht="15">
      <c r="A189" t="s">
        <v>1064</v>
      </c>
      <c r="B189" t="s">
        <v>1065</v>
      </c>
      <c r="C189" t="s">
        <v>1066</v>
      </c>
      <c r="D189" t="s">
        <v>1067</v>
      </c>
      <c r="E189">
        <v>46071</v>
      </c>
      <c r="F189" t="s">
        <v>1068</v>
      </c>
      <c r="G189" t="s">
        <v>1069</v>
      </c>
      <c r="H189"/>
      <c r="I189"/>
      <c r="J189"/>
      <c r="K189"/>
      <c r="L189"/>
      <c r="M189"/>
      <c r="N189"/>
      <c r="O189"/>
      <c r="P189"/>
      <c r="Q189"/>
      <c r="R189"/>
      <c r="S189"/>
      <c r="T189"/>
      <c r="U189"/>
      <c r="V189"/>
      <c r="W189"/>
      <c r="X189"/>
    </row>
    <row r="190" spans="1:24" ht="15">
      <c r="A190" t="s">
        <v>1070</v>
      </c>
      <c r="B190" t="s">
        <v>1071</v>
      </c>
      <c r="C190" t="s">
        <v>1072</v>
      </c>
      <c r="D190" t="s">
        <v>1073</v>
      </c>
      <c r="E190" t="s">
        <v>1074</v>
      </c>
      <c r="F190" t="s">
        <v>37</v>
      </c>
      <c r="G190" t="s">
        <v>1075</v>
      </c>
      <c r="H190" t="s">
        <v>1076</v>
      </c>
      <c r="I190"/>
      <c r="J190"/>
      <c r="K190"/>
      <c r="L190"/>
      <c r="M190"/>
      <c r="N190"/>
      <c r="O190"/>
      <c r="P190"/>
      <c r="Q190"/>
      <c r="R190"/>
      <c r="S190"/>
      <c r="T190"/>
      <c r="U190"/>
      <c r="V190"/>
      <c r="W190"/>
      <c r="X190"/>
    </row>
    <row r="191" spans="1:24" ht="15">
      <c r="A191" t="s">
        <v>1077</v>
      </c>
      <c r="B191" t="s">
        <v>1078</v>
      </c>
      <c r="C191" t="s">
        <v>1079</v>
      </c>
      <c r="D191"/>
      <c r="E191" t="s">
        <v>1080</v>
      </c>
      <c r="F191" t="s">
        <v>1081</v>
      </c>
      <c r="G191"/>
      <c r="H191"/>
      <c r="I191" t="s">
        <v>363</v>
      </c>
      <c r="J191"/>
      <c r="K191"/>
      <c r="L191"/>
      <c r="M191"/>
      <c r="N191"/>
      <c r="O191"/>
      <c r="P191"/>
      <c r="Q191"/>
      <c r="R191"/>
      <c r="S191"/>
      <c r="T191"/>
      <c r="U191"/>
      <c r="V191"/>
      <c r="W191"/>
      <c r="X191"/>
    </row>
    <row r="192" spans="1:24" ht="15">
      <c r="A192" t="s">
        <v>1082</v>
      </c>
      <c r="B192" t="s">
        <v>1083</v>
      </c>
      <c r="C192" t="s">
        <v>1084</v>
      </c>
      <c r="D192"/>
      <c r="E192" t="s">
        <v>1085</v>
      </c>
      <c r="F192" t="s">
        <v>1086</v>
      </c>
      <c r="G192"/>
      <c r="H192"/>
      <c r="I192" t="s">
        <v>264</v>
      </c>
      <c r="J192"/>
      <c r="K192"/>
      <c r="L192"/>
      <c r="M192"/>
      <c r="N192"/>
      <c r="O192"/>
      <c r="P192"/>
      <c r="Q192"/>
      <c r="R192"/>
      <c r="S192"/>
      <c r="T192"/>
      <c r="U192"/>
      <c r="V192"/>
      <c r="W192"/>
      <c r="X192"/>
    </row>
    <row r="193" spans="1:24" ht="15">
      <c r="A193" t="s">
        <v>1087</v>
      </c>
      <c r="B193" t="s">
        <v>1088</v>
      </c>
      <c r="C193" t="s">
        <v>1089</v>
      </c>
      <c r="D193"/>
      <c r="E193" t="s">
        <v>1090</v>
      </c>
      <c r="F193" t="s">
        <v>1091</v>
      </c>
      <c r="G193" t="s">
        <v>1092</v>
      </c>
      <c r="H193"/>
      <c r="I193" t="s">
        <v>1093</v>
      </c>
      <c r="J193"/>
      <c r="K193"/>
      <c r="L193"/>
      <c r="M193"/>
      <c r="N193"/>
      <c r="O193"/>
      <c r="P193"/>
      <c r="Q193"/>
      <c r="R193"/>
      <c r="S193"/>
      <c r="T193"/>
      <c r="U193"/>
      <c r="V193"/>
      <c r="W193"/>
      <c r="X193"/>
    </row>
    <row r="194" spans="1:24" s="61" customFormat="1" ht="15">
      <c r="A194" t="s">
        <v>1094</v>
      </c>
      <c r="B194" t="s">
        <v>1095</v>
      </c>
      <c r="C194" t="s">
        <v>1096</v>
      </c>
      <c r="D194"/>
      <c r="E194" t="s">
        <v>1097</v>
      </c>
      <c r="F194" t="s">
        <v>1098</v>
      </c>
      <c r="G194" t="s">
        <v>1099</v>
      </c>
      <c r="H194"/>
      <c r="I194" t="s">
        <v>1100</v>
      </c>
      <c r="J194"/>
      <c r="K194"/>
      <c r="L194"/>
      <c r="M194"/>
      <c r="N194"/>
      <c r="O194"/>
      <c r="P194"/>
      <c r="Q194"/>
      <c r="R194"/>
      <c r="S194"/>
      <c r="T194"/>
      <c r="U194"/>
      <c r="V194"/>
      <c r="W194"/>
      <c r="X194"/>
    </row>
    <row r="195" spans="1:24" s="61" customFormat="1" ht="15">
      <c r="A195" t="s">
        <v>1101</v>
      </c>
      <c r="B195" t="s">
        <v>692</v>
      </c>
      <c r="C195" t="s">
        <v>1102</v>
      </c>
      <c r="D195" t="s">
        <v>1103</v>
      </c>
      <c r="E195" t="s">
        <v>646</v>
      </c>
      <c r="F195" t="s">
        <v>159</v>
      </c>
      <c r="G195" t="s">
        <v>1104</v>
      </c>
      <c r="H195"/>
      <c r="I195"/>
      <c r="J195"/>
      <c r="K195"/>
      <c r="L195"/>
      <c r="M195"/>
      <c r="N195"/>
      <c r="O195"/>
      <c r="P195"/>
      <c r="Q195"/>
      <c r="R195"/>
      <c r="S195"/>
      <c r="T195"/>
      <c r="U195"/>
      <c r="V195"/>
      <c r="W195"/>
      <c r="X195"/>
    </row>
    <row r="196" spans="1:24" ht="15">
      <c r="A196" t="s">
        <v>1105</v>
      </c>
      <c r="B196" t="s">
        <v>1106</v>
      </c>
      <c r="C196" t="s">
        <v>1107</v>
      </c>
      <c r="D196" t="s">
        <v>196</v>
      </c>
      <c r="E196" t="s">
        <v>264</v>
      </c>
      <c r="F196" t="s">
        <v>1108</v>
      </c>
      <c r="G196" t="s">
        <v>1109</v>
      </c>
      <c r="H196"/>
      <c r="I196"/>
      <c r="J196"/>
      <c r="K196"/>
      <c r="L196"/>
      <c r="M196"/>
      <c r="N196"/>
      <c r="O196"/>
      <c r="P196"/>
      <c r="Q196"/>
      <c r="R196"/>
      <c r="S196"/>
      <c r="T196"/>
      <c r="U196"/>
      <c r="V196"/>
      <c r="W196"/>
      <c r="X196"/>
    </row>
    <row r="197" spans="1:24" ht="15">
      <c r="A197" t="s">
        <v>1110</v>
      </c>
      <c r="B197" t="s">
        <v>1111</v>
      </c>
      <c r="C197" t="s">
        <v>1112</v>
      </c>
      <c r="D197" t="s">
        <v>196</v>
      </c>
      <c r="E197">
        <v>46068</v>
      </c>
      <c r="F197" t="s">
        <v>37</v>
      </c>
      <c r="G197" t="s">
        <v>1113</v>
      </c>
      <c r="H197"/>
      <c r="I197"/>
      <c r="J197"/>
      <c r="K197"/>
      <c r="L197"/>
      <c r="M197"/>
      <c r="N197"/>
      <c r="O197"/>
      <c r="P197"/>
      <c r="Q197"/>
      <c r="R197"/>
      <c r="S197"/>
      <c r="T197"/>
      <c r="U197"/>
      <c r="V197"/>
      <c r="W197"/>
      <c r="X197"/>
    </row>
    <row r="198" spans="1:24" ht="15">
      <c r="A198" t="s">
        <v>1114</v>
      </c>
      <c r="B198" t="s">
        <v>1115</v>
      </c>
      <c r="C198" t="s">
        <v>1116</v>
      </c>
      <c r="D198" t="s">
        <v>1117</v>
      </c>
      <c r="E198" t="s">
        <v>1118</v>
      </c>
      <c r="F198" t="s">
        <v>37</v>
      </c>
      <c r="G198" t="s">
        <v>1119</v>
      </c>
      <c r="H198" t="s">
        <v>1120</v>
      </c>
      <c r="I198"/>
      <c r="J198"/>
      <c r="K198"/>
      <c r="L198"/>
      <c r="M198"/>
      <c r="N198"/>
      <c r="O198"/>
      <c r="P198"/>
      <c r="Q198"/>
      <c r="R198"/>
      <c r="S198"/>
      <c r="T198"/>
      <c r="U198"/>
      <c r="V198"/>
      <c r="W198"/>
      <c r="X198"/>
    </row>
    <row r="199" spans="1:24" ht="15">
      <c r="A199" t="s">
        <v>1121</v>
      </c>
      <c r="B199" t="s">
        <v>1122</v>
      </c>
      <c r="C199" t="s">
        <v>1123</v>
      </c>
      <c r="D199" t="s">
        <v>196</v>
      </c>
      <c r="E199" t="s">
        <v>235</v>
      </c>
      <c r="F199" t="s">
        <v>37</v>
      </c>
      <c r="G199" t="s">
        <v>1124</v>
      </c>
      <c r="H199"/>
      <c r="I199"/>
      <c r="J199"/>
      <c r="K199"/>
      <c r="L199"/>
      <c r="M199"/>
      <c r="N199"/>
      <c r="O199"/>
      <c r="P199"/>
      <c r="Q199"/>
      <c r="R199"/>
      <c r="S199"/>
      <c r="T199"/>
      <c r="U199"/>
      <c r="V199"/>
      <c r="W199"/>
      <c r="X199"/>
    </row>
    <row r="200" spans="1:24" ht="15">
      <c r="A200" t="s">
        <v>1125</v>
      </c>
      <c r="B200" t="s">
        <v>1126</v>
      </c>
      <c r="C200" t="s">
        <v>1127</v>
      </c>
      <c r="D200"/>
      <c r="E200" t="s">
        <v>1128</v>
      </c>
      <c r="F200" t="s">
        <v>210</v>
      </c>
      <c r="G200"/>
      <c r="H200"/>
      <c r="I200" t="s">
        <v>264</v>
      </c>
      <c r="J200"/>
      <c r="K200"/>
      <c r="L200"/>
      <c r="M200"/>
      <c r="N200"/>
      <c r="O200"/>
      <c r="P200"/>
      <c r="Q200"/>
      <c r="R200"/>
      <c r="S200"/>
      <c r="T200"/>
      <c r="U200"/>
      <c r="V200"/>
      <c r="W200"/>
      <c r="X200"/>
    </row>
    <row r="201" spans="1:24" ht="15">
      <c r="A201" t="s">
        <v>1129</v>
      </c>
      <c r="B201" t="s">
        <v>1130</v>
      </c>
      <c r="C201" t="s">
        <v>1131</v>
      </c>
      <c r="D201"/>
      <c r="E201" t="s">
        <v>1132</v>
      </c>
      <c r="F201" t="s">
        <v>1133</v>
      </c>
      <c r="G201"/>
      <c r="H201"/>
      <c r="I201" t="s">
        <v>1134</v>
      </c>
      <c r="J201"/>
      <c r="K201"/>
      <c r="L201"/>
      <c r="M201"/>
      <c r="N201"/>
      <c r="O201"/>
      <c r="P201"/>
      <c r="Q201"/>
      <c r="R201"/>
      <c r="S201"/>
      <c r="T201"/>
      <c r="U201"/>
      <c r="V201"/>
      <c r="W201"/>
      <c r="X201"/>
    </row>
    <row r="202" spans="1:24" ht="15">
      <c r="A202" t="s">
        <v>1135</v>
      </c>
      <c r="B202" t="s">
        <v>1136</v>
      </c>
      <c r="C202" t="s">
        <v>1137</v>
      </c>
      <c r="D202"/>
      <c r="E202" t="s">
        <v>1138</v>
      </c>
      <c r="F202" t="s">
        <v>1139</v>
      </c>
      <c r="G202"/>
      <c r="H202"/>
      <c r="I202" t="s">
        <v>363</v>
      </c>
      <c r="J202"/>
      <c r="K202"/>
      <c r="L202"/>
      <c r="M202"/>
      <c r="N202"/>
      <c r="O202"/>
      <c r="P202"/>
      <c r="Q202"/>
      <c r="R202"/>
      <c r="S202"/>
      <c r="T202"/>
      <c r="U202"/>
      <c r="V202"/>
      <c r="W202"/>
      <c r="X202"/>
    </row>
    <row r="203" spans="1:24" ht="15">
      <c r="A203" t="s">
        <v>1140</v>
      </c>
      <c r="B203" t="s">
        <v>1141</v>
      </c>
      <c r="C203" t="s">
        <v>1142</v>
      </c>
      <c r="D203"/>
      <c r="E203" t="s">
        <v>1143</v>
      </c>
      <c r="F203" t="s">
        <v>196</v>
      </c>
      <c r="G203"/>
      <c r="H203"/>
      <c r="I203" t="s">
        <v>264</v>
      </c>
      <c r="J203"/>
      <c r="K203"/>
      <c r="L203"/>
      <c r="M203"/>
      <c r="N203"/>
      <c r="O203"/>
      <c r="P203"/>
      <c r="Q203"/>
      <c r="R203"/>
      <c r="S203"/>
      <c r="T203"/>
      <c r="U203"/>
      <c r="V203"/>
      <c r="W203"/>
      <c r="X203"/>
    </row>
    <row r="204" spans="1:24" ht="15">
      <c r="A204" t="s">
        <v>1144</v>
      </c>
      <c r="B204" t="s">
        <v>1145</v>
      </c>
      <c r="C204" t="s">
        <v>1146</v>
      </c>
      <c r="D204" t="s">
        <v>1147</v>
      </c>
      <c r="E204" t="s">
        <v>235</v>
      </c>
      <c r="F204" t="s">
        <v>37</v>
      </c>
      <c r="G204" t="s">
        <v>1148</v>
      </c>
      <c r="H204"/>
      <c r="I204"/>
      <c r="J204"/>
      <c r="K204"/>
      <c r="L204"/>
      <c r="M204"/>
      <c r="N204"/>
      <c r="O204"/>
      <c r="P204"/>
      <c r="Q204"/>
      <c r="R204"/>
      <c r="S204"/>
      <c r="T204"/>
      <c r="U204"/>
      <c r="V204"/>
      <c r="W204"/>
      <c r="X204"/>
    </row>
    <row r="205" spans="1:24" ht="15">
      <c r="A205" t="s">
        <v>1149</v>
      </c>
      <c r="B205" t="s">
        <v>1150</v>
      </c>
      <c r="C205" t="s">
        <v>1151</v>
      </c>
      <c r="D205" t="s">
        <v>1152</v>
      </c>
      <c r="E205" t="s">
        <v>330</v>
      </c>
      <c r="F205" t="s">
        <v>37</v>
      </c>
      <c r="G205" t="s">
        <v>1153</v>
      </c>
      <c r="H205"/>
      <c r="I205"/>
      <c r="J205"/>
      <c r="K205"/>
      <c r="L205"/>
      <c r="M205"/>
      <c r="N205"/>
      <c r="O205"/>
      <c r="P205"/>
      <c r="Q205"/>
      <c r="R205"/>
      <c r="S205"/>
      <c r="T205"/>
      <c r="U205"/>
      <c r="V205"/>
      <c r="W205"/>
      <c r="X205"/>
    </row>
    <row r="206" spans="1:24" ht="15">
      <c r="A206" t="s">
        <v>1154</v>
      </c>
      <c r="B206" t="s">
        <v>1155</v>
      </c>
      <c r="C206" t="s">
        <v>1156</v>
      </c>
      <c r="D206" t="s">
        <v>196</v>
      </c>
      <c r="E206" t="s">
        <v>235</v>
      </c>
      <c r="F206" t="s">
        <v>37</v>
      </c>
      <c r="G206" t="s">
        <v>1157</v>
      </c>
      <c r="H206"/>
      <c r="I206"/>
      <c r="J206"/>
      <c r="K206"/>
      <c r="L206"/>
      <c r="M206"/>
      <c r="N206"/>
      <c r="O206"/>
      <c r="P206"/>
      <c r="Q206"/>
      <c r="R206"/>
      <c r="S206"/>
      <c r="T206"/>
      <c r="U206"/>
      <c r="V206"/>
      <c r="W206"/>
      <c r="X206"/>
    </row>
    <row r="207" spans="1:24" ht="15">
      <c r="A207" t="s">
        <v>1158</v>
      </c>
      <c r="B207"/>
      <c r="C207"/>
      <c r="D207"/>
      <c r="E207" t="s">
        <v>867</v>
      </c>
      <c r="F207"/>
      <c r="G207"/>
      <c r="H207"/>
      <c r="I207"/>
      <c r="J207"/>
      <c r="K207"/>
      <c r="L207"/>
      <c r="M207"/>
      <c r="N207"/>
      <c r="O207"/>
      <c r="P207"/>
      <c r="Q207"/>
      <c r="R207"/>
      <c r="S207"/>
      <c r="T207"/>
      <c r="U207"/>
      <c r="V207"/>
      <c r="W207"/>
      <c r="X207"/>
    </row>
    <row r="208" spans="1:24" ht="15">
      <c r="A208" t="s">
        <v>1159</v>
      </c>
      <c r="B208" t="s">
        <v>1160</v>
      </c>
      <c r="C208" t="s">
        <v>1161</v>
      </c>
      <c r="D208" t="s">
        <v>340</v>
      </c>
      <c r="E208" t="s">
        <v>330</v>
      </c>
      <c r="F208" t="s">
        <v>159</v>
      </c>
      <c r="G208" t="s">
        <v>1162</v>
      </c>
      <c r="H208"/>
      <c r="I208"/>
      <c r="J208"/>
      <c r="K208"/>
      <c r="L208"/>
      <c r="M208"/>
      <c r="N208"/>
      <c r="O208"/>
      <c r="P208"/>
      <c r="Q208"/>
      <c r="R208"/>
      <c r="S208"/>
      <c r="T208"/>
      <c r="U208"/>
      <c r="V208"/>
      <c r="W208"/>
      <c r="X208"/>
    </row>
    <row r="209" spans="1:24" ht="15">
      <c r="A209" t="s">
        <v>1163</v>
      </c>
      <c r="B209" t="s">
        <v>1164</v>
      </c>
      <c r="C209" t="s">
        <v>1165</v>
      </c>
      <c r="D209" t="s">
        <v>1166</v>
      </c>
      <c r="E209" t="s">
        <v>1167</v>
      </c>
      <c r="F209" t="s">
        <v>37</v>
      </c>
      <c r="G209" t="s">
        <v>1168</v>
      </c>
      <c r="H209" t="s">
        <v>1169</v>
      </c>
      <c r="I209"/>
      <c r="J209"/>
      <c r="K209"/>
      <c r="L209"/>
      <c r="M209"/>
      <c r="N209"/>
      <c r="O209"/>
      <c r="P209"/>
      <c r="Q209"/>
      <c r="R209"/>
      <c r="S209"/>
      <c r="T209"/>
      <c r="U209"/>
      <c r="V209"/>
      <c r="W209"/>
      <c r="X209"/>
    </row>
    <row r="210" spans="1:24" ht="15">
      <c r="A210" t="s">
        <v>1170</v>
      </c>
      <c r="B210" t="s">
        <v>1171</v>
      </c>
      <c r="C210" t="s">
        <v>1172</v>
      </c>
      <c r="D210" t="s">
        <v>1166</v>
      </c>
      <c r="E210" t="s">
        <v>646</v>
      </c>
      <c r="F210" t="s">
        <v>37</v>
      </c>
      <c r="G210" t="s">
        <v>1157</v>
      </c>
      <c r="H210"/>
      <c r="I210"/>
      <c r="J210"/>
      <c r="K210"/>
      <c r="L210"/>
      <c r="M210"/>
      <c r="N210"/>
      <c r="O210"/>
      <c r="P210"/>
      <c r="Q210"/>
      <c r="R210"/>
      <c r="S210"/>
      <c r="T210"/>
      <c r="U210"/>
      <c r="V210"/>
      <c r="W210"/>
      <c r="X210"/>
    </row>
    <row r="211" spans="1:24" ht="15">
      <c r="A211" t="s">
        <v>1173</v>
      </c>
      <c r="B211" t="s">
        <v>472</v>
      </c>
      <c r="C211" t="s">
        <v>60</v>
      </c>
      <c r="D211"/>
      <c r="E211" t="s">
        <v>1174</v>
      </c>
      <c r="F211" t="s">
        <v>1175</v>
      </c>
      <c r="G211"/>
      <c r="H211"/>
      <c r="I211" t="s">
        <v>264</v>
      </c>
      <c r="J211"/>
      <c r="K211"/>
      <c r="L211"/>
      <c r="M211"/>
      <c r="N211"/>
      <c r="O211"/>
      <c r="P211"/>
      <c r="Q211"/>
      <c r="R211"/>
      <c r="S211"/>
      <c r="T211"/>
      <c r="U211"/>
      <c r="V211"/>
      <c r="W211"/>
      <c r="X211"/>
    </row>
    <row r="212" spans="1:24" ht="15">
      <c r="A212" t="s">
        <v>1176</v>
      </c>
      <c r="B212" t="s">
        <v>1177</v>
      </c>
      <c r="C212" t="s">
        <v>1178</v>
      </c>
      <c r="D212"/>
      <c r="E212" t="s">
        <v>1179</v>
      </c>
      <c r="F212" t="s">
        <v>1180</v>
      </c>
      <c r="G212"/>
      <c r="H212"/>
      <c r="I212" t="s">
        <v>363</v>
      </c>
      <c r="J212"/>
      <c r="K212"/>
      <c r="L212"/>
      <c r="M212"/>
      <c r="N212"/>
      <c r="O212"/>
      <c r="P212"/>
      <c r="Q212"/>
      <c r="R212"/>
      <c r="S212"/>
      <c r="T212"/>
      <c r="U212"/>
      <c r="V212"/>
      <c r="W212"/>
      <c r="X212"/>
    </row>
    <row r="213" spans="1:24" ht="15">
      <c r="A213" t="s">
        <v>1181</v>
      </c>
      <c r="B213" t="s">
        <v>1182</v>
      </c>
      <c r="C213" t="s">
        <v>1183</v>
      </c>
      <c r="D213" t="s">
        <v>159</v>
      </c>
      <c r="E213" t="s">
        <v>1184</v>
      </c>
      <c r="F213"/>
      <c r="G213" t="s">
        <v>1185</v>
      </c>
      <c r="H213" t="s">
        <v>646</v>
      </c>
      <c r="I213"/>
      <c r="J213"/>
      <c r="K213"/>
      <c r="L213"/>
      <c r="M213"/>
      <c r="N213"/>
      <c r="O213"/>
      <c r="P213"/>
      <c r="Q213"/>
      <c r="R213"/>
      <c r="S213"/>
      <c r="T213"/>
      <c r="U213"/>
      <c r="V213"/>
      <c r="W213"/>
      <c r="X213"/>
    </row>
    <row r="214" spans="1:24" ht="15">
      <c r="A214" t="s">
        <v>125</v>
      </c>
      <c r="B214" t="s">
        <v>127</v>
      </c>
      <c r="C214" t="s">
        <v>126</v>
      </c>
      <c r="D214" t="s">
        <v>1186</v>
      </c>
      <c r="E214" s="101">
        <v>46078</v>
      </c>
      <c r="F214" t="s">
        <v>37</v>
      </c>
      <c r="G214" t="s">
        <v>1187</v>
      </c>
      <c r="H214"/>
      <c r="I214"/>
      <c r="J214"/>
      <c r="K214"/>
      <c r="L214"/>
      <c r="M214"/>
      <c r="N214"/>
      <c r="O214"/>
      <c r="P214"/>
      <c r="Q214"/>
      <c r="R214"/>
      <c r="S214"/>
      <c r="T214"/>
      <c r="U214"/>
      <c r="V214"/>
      <c r="W214"/>
      <c r="X214"/>
    </row>
    <row r="215" spans="1:24" ht="15">
      <c r="A215" t="s">
        <v>65</v>
      </c>
      <c r="B215"/>
      <c r="C215" t="s">
        <v>1188</v>
      </c>
      <c r="D215" s="99">
        <v>70000</v>
      </c>
      <c r="E215" t="s">
        <v>83</v>
      </c>
      <c r="F215" s="100">
        <v>46357</v>
      </c>
      <c r="G215" t="s">
        <v>68</v>
      </c>
      <c r="H215"/>
      <c r="I215"/>
      <c r="J215"/>
      <c r="K215"/>
      <c r="L215"/>
      <c r="M215"/>
      <c r="N215"/>
      <c r="O215"/>
      <c r="P215"/>
      <c r="Q215"/>
      <c r="R215"/>
      <c r="S215"/>
      <c r="T215"/>
      <c r="U215"/>
      <c r="V215"/>
      <c r="W215"/>
      <c r="X215"/>
    </row>
    <row r="216" spans="1:24" ht="15">
      <c r="A216" t="s">
        <v>1189</v>
      </c>
      <c r="B216" t="s">
        <v>1190</v>
      </c>
      <c r="C216" t="s">
        <v>1191</v>
      </c>
      <c r="D216" t="s">
        <v>159</v>
      </c>
      <c r="E216" t="s">
        <v>1192</v>
      </c>
      <c r="F216"/>
      <c r="G216" t="s">
        <v>815</v>
      </c>
      <c r="H216" t="s">
        <v>235</v>
      </c>
      <c r="I216"/>
      <c r="J216"/>
      <c r="K216"/>
      <c r="L216"/>
      <c r="M216"/>
      <c r="N216"/>
      <c r="O216"/>
      <c r="P216"/>
      <c r="Q216"/>
      <c r="R216"/>
      <c r="S216"/>
      <c r="T216"/>
      <c r="U216"/>
      <c r="V216"/>
      <c r="W216"/>
      <c r="X216"/>
    </row>
    <row r="217" spans="1:24" ht="15">
      <c r="A217" t="s">
        <v>1193</v>
      </c>
      <c r="B217" t="s">
        <v>1194</v>
      </c>
      <c r="C217" t="s">
        <v>1195</v>
      </c>
      <c r="D217"/>
      <c r="E217" t="s">
        <v>1196</v>
      </c>
      <c r="F217" t="s">
        <v>1197</v>
      </c>
      <c r="G217"/>
      <c r="H217"/>
      <c r="I217" t="s">
        <v>1198</v>
      </c>
      <c r="J217"/>
      <c r="K217"/>
      <c r="L217"/>
      <c r="M217"/>
      <c r="N217"/>
      <c r="O217"/>
      <c r="P217"/>
      <c r="Q217"/>
      <c r="R217"/>
      <c r="S217"/>
      <c r="T217"/>
      <c r="U217"/>
      <c r="V217"/>
      <c r="W217"/>
      <c r="X217"/>
    </row>
    <row r="218" spans="1:24" ht="15">
      <c r="A218" t="s">
        <v>1199</v>
      </c>
      <c r="B218" t="s">
        <v>1200</v>
      </c>
      <c r="C218" t="s">
        <v>1201</v>
      </c>
      <c r="D218" t="s">
        <v>196</v>
      </c>
      <c r="E218" t="s">
        <v>235</v>
      </c>
      <c r="F218" t="s">
        <v>37</v>
      </c>
      <c r="G218" t="s">
        <v>1202</v>
      </c>
      <c r="H218"/>
      <c r="I218"/>
      <c r="J218"/>
      <c r="K218"/>
      <c r="L218"/>
      <c r="M218"/>
      <c r="N218"/>
      <c r="O218"/>
      <c r="P218"/>
      <c r="Q218"/>
      <c r="R218"/>
      <c r="S218"/>
      <c r="T218"/>
      <c r="U218"/>
      <c r="V218"/>
      <c r="W218"/>
      <c r="X218"/>
    </row>
    <row r="219" spans="1:24" ht="15">
      <c r="A219" t="s">
        <v>1203</v>
      </c>
      <c r="B219" t="s">
        <v>1204</v>
      </c>
      <c r="C219" t="s">
        <v>1205</v>
      </c>
      <c r="D219" t="s">
        <v>1206</v>
      </c>
      <c r="E219" t="s">
        <v>382</v>
      </c>
      <c r="F219" t="s">
        <v>29</v>
      </c>
      <c r="G219" t="s">
        <v>1207</v>
      </c>
      <c r="H219" t="s">
        <v>1208</v>
      </c>
      <c r="I219"/>
      <c r="J219"/>
      <c r="K219"/>
      <c r="L219"/>
      <c r="M219"/>
      <c r="N219"/>
      <c r="O219"/>
      <c r="P219"/>
      <c r="Q219"/>
      <c r="R219"/>
      <c r="S219"/>
      <c r="T219"/>
      <c r="U219"/>
      <c r="V219"/>
      <c r="W219"/>
      <c r="X219"/>
    </row>
    <row r="220" spans="1:24" ht="15">
      <c r="A220" t="s">
        <v>1209</v>
      </c>
      <c r="B220" t="s">
        <v>1210</v>
      </c>
      <c r="C220" t="s">
        <v>1211</v>
      </c>
      <c r="D220"/>
      <c r="E220" t="s">
        <v>1212</v>
      </c>
      <c r="F220" t="s">
        <v>1213</v>
      </c>
      <c r="G220"/>
      <c r="H220"/>
      <c r="I220" t="s">
        <v>210</v>
      </c>
      <c r="J220"/>
      <c r="K220"/>
      <c r="L220"/>
      <c r="M220"/>
      <c r="N220"/>
      <c r="O220"/>
      <c r="P220"/>
      <c r="Q220"/>
      <c r="R220"/>
      <c r="S220"/>
      <c r="T220"/>
      <c r="U220"/>
      <c r="V220"/>
      <c r="W220"/>
      <c r="X220"/>
    </row>
    <row r="221" spans="1:24" ht="15">
      <c r="A221" t="s">
        <v>1214</v>
      </c>
      <c r="B221" t="s">
        <v>1215</v>
      </c>
      <c r="C221" t="s">
        <v>1216</v>
      </c>
      <c r="D221"/>
      <c r="E221" t="s">
        <v>1217</v>
      </c>
      <c r="F221"/>
      <c r="G221" t="s">
        <v>1218</v>
      </c>
      <c r="H221"/>
      <c r="I221" t="s">
        <v>264</v>
      </c>
      <c r="J221"/>
      <c r="K221"/>
      <c r="L221"/>
      <c r="M221"/>
      <c r="N221"/>
      <c r="O221"/>
      <c r="P221"/>
      <c r="Q221"/>
      <c r="R221"/>
      <c r="S221"/>
      <c r="T221"/>
      <c r="U221"/>
      <c r="V221"/>
      <c r="W221"/>
      <c r="X221"/>
    </row>
    <row r="222" spans="1:24" ht="15">
      <c r="A222" t="s">
        <v>1219</v>
      </c>
      <c r="B222" t="s">
        <v>1220</v>
      </c>
      <c r="C222" t="s">
        <v>1221</v>
      </c>
      <c r="D222" t="s">
        <v>1222</v>
      </c>
      <c r="E222" t="s">
        <v>1223</v>
      </c>
      <c r="F222" t="s">
        <v>37</v>
      </c>
      <c r="G222" t="s">
        <v>1224</v>
      </c>
      <c r="H222"/>
      <c r="I222"/>
      <c r="J222"/>
      <c r="K222"/>
      <c r="L222"/>
      <c r="M222"/>
      <c r="N222"/>
      <c r="O222"/>
      <c r="P222"/>
      <c r="Q222"/>
      <c r="R222"/>
      <c r="S222"/>
      <c r="T222"/>
      <c r="U222"/>
      <c r="V222"/>
      <c r="W222"/>
      <c r="X222"/>
    </row>
    <row r="223" spans="1:24" ht="15">
      <c r="A223" t="s">
        <v>1225</v>
      </c>
      <c r="B223" t="s">
        <v>1226</v>
      </c>
      <c r="C223" t="s">
        <v>1227</v>
      </c>
      <c r="D223"/>
      <c r="E223" t="s">
        <v>1228</v>
      </c>
      <c r="F223" t="s">
        <v>1229</v>
      </c>
      <c r="G223"/>
      <c r="H223"/>
      <c r="I223" t="s">
        <v>264</v>
      </c>
      <c r="J223"/>
      <c r="K223"/>
      <c r="L223"/>
      <c r="M223"/>
      <c r="N223"/>
      <c r="O223"/>
      <c r="P223"/>
      <c r="Q223"/>
      <c r="R223"/>
      <c r="S223"/>
      <c r="T223"/>
      <c r="U223"/>
      <c r="V223"/>
      <c r="W223"/>
      <c r="X223"/>
    </row>
    <row r="224" spans="1:24" ht="15">
      <c r="A224" t="s">
        <v>1230</v>
      </c>
      <c r="B224" t="s">
        <v>1231</v>
      </c>
      <c r="C224" t="s">
        <v>1232</v>
      </c>
      <c r="D224" t="s">
        <v>1233</v>
      </c>
      <c r="E224" t="s">
        <v>1234</v>
      </c>
      <c r="F224"/>
      <c r="G224" t="s">
        <v>196</v>
      </c>
      <c r="H224" t="s">
        <v>235</v>
      </c>
      <c r="I224"/>
      <c r="J224"/>
      <c r="K224"/>
      <c r="L224"/>
      <c r="M224"/>
      <c r="N224"/>
      <c r="O224"/>
      <c r="P224"/>
      <c r="Q224"/>
      <c r="R224"/>
      <c r="S224"/>
      <c r="T224"/>
      <c r="U224"/>
      <c r="V224"/>
      <c r="W224"/>
      <c r="X224"/>
    </row>
    <row r="225" spans="1:24" ht="15">
      <c r="A225" t="s">
        <v>1235</v>
      </c>
      <c r="B225" t="s">
        <v>1236</v>
      </c>
      <c r="C225" t="s">
        <v>1237</v>
      </c>
      <c r="D225"/>
      <c r="E225" t="s">
        <v>1238</v>
      </c>
      <c r="F225" t="s">
        <v>1239</v>
      </c>
      <c r="G225"/>
      <c r="H225"/>
      <c r="I225" t="s">
        <v>1240</v>
      </c>
      <c r="J225"/>
      <c r="K225"/>
      <c r="L225"/>
      <c r="M225"/>
      <c r="N225"/>
      <c r="O225"/>
      <c r="P225"/>
      <c r="Q225"/>
      <c r="R225"/>
      <c r="S225"/>
      <c r="T225"/>
      <c r="U225"/>
      <c r="V225"/>
      <c r="W225"/>
      <c r="X225"/>
    </row>
    <row r="226" spans="1:24" ht="15">
      <c r="A226" t="s">
        <v>1241</v>
      </c>
      <c r="B226" t="s">
        <v>1242</v>
      </c>
      <c r="C226" t="s">
        <v>1243</v>
      </c>
      <c r="D226" t="s">
        <v>1244</v>
      </c>
      <c r="E226" t="s">
        <v>1245</v>
      </c>
      <c r="F226" t="s">
        <v>37</v>
      </c>
      <c r="G226" t="s">
        <v>1246</v>
      </c>
      <c r="H226" t="s">
        <v>1247</v>
      </c>
      <c r="I226"/>
      <c r="J226"/>
      <c r="K226"/>
      <c r="L226"/>
      <c r="M226"/>
      <c r="N226"/>
      <c r="O226"/>
      <c r="P226"/>
      <c r="Q226"/>
      <c r="R226"/>
      <c r="S226"/>
      <c r="T226"/>
      <c r="U226"/>
      <c r="V226"/>
      <c r="W226"/>
      <c r="X226"/>
    </row>
    <row r="227" spans="1:24" ht="15">
      <c r="A227" t="s">
        <v>1248</v>
      </c>
      <c r="B227" t="s">
        <v>1249</v>
      </c>
      <c r="C227" t="s">
        <v>1250</v>
      </c>
      <c r="D227"/>
      <c r="E227" t="s">
        <v>1251</v>
      </c>
      <c r="F227" t="s">
        <v>1252</v>
      </c>
      <c r="G227"/>
      <c r="H227"/>
      <c r="I227" t="s">
        <v>264</v>
      </c>
      <c r="J227"/>
      <c r="K227"/>
      <c r="L227"/>
      <c r="M227"/>
      <c r="N227"/>
      <c r="O227"/>
      <c r="P227"/>
      <c r="Q227"/>
      <c r="R227"/>
      <c r="S227"/>
      <c r="T227"/>
      <c r="U227"/>
      <c r="V227"/>
      <c r="W227"/>
      <c r="X227"/>
    </row>
    <row r="228" spans="1:24" ht="15">
      <c r="A228" t="s">
        <v>1253</v>
      </c>
      <c r="B228" t="s">
        <v>1254</v>
      </c>
      <c r="C228" t="s">
        <v>1255</v>
      </c>
      <c r="D228" t="s">
        <v>196</v>
      </c>
      <c r="E228" t="s">
        <v>235</v>
      </c>
      <c r="F228" t="s">
        <v>37</v>
      </c>
      <c r="G228" t="s">
        <v>1256</v>
      </c>
      <c r="H228"/>
      <c r="I228"/>
      <c r="J228"/>
      <c r="K228"/>
      <c r="L228"/>
      <c r="M228"/>
      <c r="N228"/>
      <c r="O228"/>
      <c r="P228"/>
      <c r="Q228"/>
      <c r="R228"/>
      <c r="S228"/>
      <c r="T228"/>
      <c r="U228"/>
      <c r="V228"/>
      <c r="W228"/>
      <c r="X228"/>
    </row>
    <row r="229" spans="1:24" ht="15">
      <c r="A229" t="s">
        <v>1257</v>
      </c>
      <c r="B229" t="s">
        <v>1258</v>
      </c>
      <c r="C229" t="s">
        <v>1259</v>
      </c>
      <c r="D229"/>
      <c r="E229" t="s">
        <v>1260</v>
      </c>
      <c r="F229" t="s">
        <v>623</v>
      </c>
      <c r="G229"/>
      <c r="H229"/>
      <c r="I229" t="s">
        <v>264</v>
      </c>
      <c r="J229"/>
      <c r="K229"/>
      <c r="L229"/>
      <c r="M229"/>
      <c r="N229"/>
      <c r="O229"/>
      <c r="P229"/>
      <c r="Q229"/>
      <c r="R229"/>
      <c r="S229"/>
      <c r="T229"/>
      <c r="U229"/>
      <c r="V229"/>
      <c r="W229"/>
      <c r="X229"/>
    </row>
    <row r="230" spans="1:24" ht="15">
      <c r="A230" t="s">
        <v>595</v>
      </c>
      <c r="B230" t="s">
        <v>596</v>
      </c>
      <c r="C230" t="s">
        <v>1261</v>
      </c>
      <c r="D230" t="s">
        <v>196</v>
      </c>
      <c r="E230" t="s">
        <v>235</v>
      </c>
      <c r="F230" t="s">
        <v>37</v>
      </c>
      <c r="G230" t="s">
        <v>1262</v>
      </c>
      <c r="H230"/>
      <c r="I230"/>
      <c r="J230"/>
      <c r="K230"/>
      <c r="L230"/>
      <c r="M230"/>
      <c r="N230"/>
      <c r="O230"/>
      <c r="P230"/>
      <c r="Q230"/>
      <c r="R230"/>
      <c r="S230"/>
      <c r="T230"/>
      <c r="U230"/>
      <c r="V230"/>
      <c r="W230"/>
      <c r="X230"/>
    </row>
    <row r="231" spans="1:24" ht="15">
      <c r="A231" t="s">
        <v>1263</v>
      </c>
      <c r="B231" t="s">
        <v>1264</v>
      </c>
      <c r="C231" t="s">
        <v>1265</v>
      </c>
      <c r="D231" t="s">
        <v>196</v>
      </c>
      <c r="E231" t="s">
        <v>235</v>
      </c>
      <c r="F231" t="s">
        <v>159</v>
      </c>
      <c r="G231" t="s">
        <v>1266</v>
      </c>
      <c r="H231"/>
      <c r="I231"/>
      <c r="J231"/>
      <c r="K231"/>
      <c r="L231"/>
      <c r="M231"/>
      <c r="N231"/>
      <c r="O231"/>
      <c r="P231"/>
      <c r="Q231"/>
      <c r="R231"/>
      <c r="S231"/>
      <c r="T231"/>
      <c r="U231"/>
      <c r="V231"/>
      <c r="W231"/>
      <c r="X231"/>
    </row>
    <row r="232" spans="1:24" ht="15">
      <c r="A232" t="s">
        <v>961</v>
      </c>
      <c r="B232" t="s">
        <v>1267</v>
      </c>
      <c r="C232" t="s">
        <v>1268</v>
      </c>
      <c r="D232" t="s">
        <v>196</v>
      </c>
      <c r="E232" t="s">
        <v>235</v>
      </c>
      <c r="F232" t="s">
        <v>37</v>
      </c>
      <c r="G232" t="s">
        <v>1269</v>
      </c>
      <c r="H232"/>
      <c r="I232"/>
      <c r="J232"/>
      <c r="K232"/>
      <c r="L232"/>
      <c r="M232"/>
      <c r="N232"/>
      <c r="O232"/>
      <c r="P232"/>
      <c r="Q232"/>
      <c r="R232"/>
      <c r="S232"/>
      <c r="T232"/>
      <c r="U232"/>
      <c r="V232"/>
      <c r="W232"/>
      <c r="X232"/>
    </row>
    <row r="233" spans="1:24" ht="15">
      <c r="A233" t="s">
        <v>1270</v>
      </c>
      <c r="B233" t="s">
        <v>1271</v>
      </c>
      <c r="C233" t="s">
        <v>1272</v>
      </c>
      <c r="D233"/>
      <c r="E233" t="s">
        <v>1273</v>
      </c>
      <c r="F233" t="s">
        <v>1274</v>
      </c>
      <c r="G233"/>
      <c r="H233"/>
      <c r="I233" t="s">
        <v>264</v>
      </c>
      <c r="J233"/>
      <c r="K233"/>
      <c r="L233"/>
      <c r="M233"/>
      <c r="N233"/>
      <c r="O233"/>
      <c r="P233"/>
      <c r="Q233"/>
      <c r="R233"/>
      <c r="S233"/>
      <c r="T233"/>
      <c r="U233"/>
      <c r="V233"/>
      <c r="W233"/>
      <c r="X233"/>
    </row>
    <row r="234" spans="1:24" ht="15">
      <c r="A234" t="s">
        <v>546</v>
      </c>
      <c r="B234"/>
      <c r="C234"/>
      <c r="D234"/>
      <c r="E234" t="s">
        <v>1275</v>
      </c>
      <c r="F234"/>
      <c r="G234"/>
      <c r="H234"/>
      <c r="I234"/>
      <c r="J234"/>
      <c r="K234"/>
      <c r="L234"/>
      <c r="M234"/>
      <c r="N234"/>
      <c r="O234"/>
      <c r="P234"/>
      <c r="Q234"/>
      <c r="R234"/>
      <c r="S234"/>
      <c r="T234"/>
      <c r="U234"/>
      <c r="V234"/>
      <c r="W234"/>
      <c r="X234"/>
    </row>
    <row r="235" spans="1:24" ht="15">
      <c r="A235" t="s">
        <v>10</v>
      </c>
      <c r="B235" t="s">
        <v>1276</v>
      </c>
      <c r="C235" t="s">
        <v>1277</v>
      </c>
      <c r="D235" t="s">
        <v>1278</v>
      </c>
      <c r="E235" t="s">
        <v>1279</v>
      </c>
      <c r="F235" t="s">
        <v>14</v>
      </c>
      <c r="G235" t="s">
        <v>15</v>
      </c>
      <c r="H235"/>
      <c r="I235"/>
      <c r="J235"/>
      <c r="K235"/>
      <c r="L235"/>
      <c r="M235"/>
      <c r="N235"/>
      <c r="O235"/>
      <c r="P235"/>
      <c r="Q235"/>
      <c r="R235"/>
      <c r="S235"/>
      <c r="T235"/>
      <c r="U235"/>
      <c r="V235"/>
      <c r="W235"/>
      <c r="X235"/>
    </row>
    <row r="236" spans="1:24" ht="15">
      <c r="A236" t="s">
        <v>1280</v>
      </c>
      <c r="B236" t="s">
        <v>1281</v>
      </c>
      <c r="C236" t="s">
        <v>1282</v>
      </c>
      <c r="D236" t="s">
        <v>196</v>
      </c>
      <c r="E236" t="s">
        <v>235</v>
      </c>
      <c r="F236" t="s">
        <v>37</v>
      </c>
      <c r="G236" t="s">
        <v>257</v>
      </c>
      <c r="H236"/>
      <c r="I236"/>
      <c r="J236"/>
      <c r="K236"/>
      <c r="L236"/>
      <c r="M236"/>
      <c r="N236"/>
      <c r="O236"/>
      <c r="P236"/>
      <c r="Q236"/>
      <c r="R236"/>
      <c r="S236"/>
      <c r="T236"/>
      <c r="U236"/>
      <c r="V236"/>
      <c r="W236"/>
      <c r="X236"/>
    </row>
    <row r="237" spans="1:24" ht="15">
      <c r="A237" t="s">
        <v>1283</v>
      </c>
      <c r="B237" t="s">
        <v>1284</v>
      </c>
      <c r="C237" t="s">
        <v>1285</v>
      </c>
      <c r="D237"/>
      <c r="E237" t="s">
        <v>1286</v>
      </c>
      <c r="F237" t="s">
        <v>1287</v>
      </c>
      <c r="G237"/>
      <c r="H237"/>
      <c r="I237" t="s">
        <v>210</v>
      </c>
      <c r="J237"/>
      <c r="K237"/>
      <c r="L237"/>
      <c r="M237"/>
      <c r="N237"/>
      <c r="O237"/>
      <c r="P237"/>
      <c r="Q237"/>
      <c r="R237"/>
      <c r="S237"/>
      <c r="T237"/>
      <c r="U237"/>
      <c r="V237"/>
      <c r="W237"/>
      <c r="X237"/>
    </row>
    <row r="238" spans="1:24" ht="15">
      <c r="A238" t="s">
        <v>1288</v>
      </c>
      <c r="B238" t="s">
        <v>1289</v>
      </c>
      <c r="C238" t="s">
        <v>1290</v>
      </c>
      <c r="D238"/>
      <c r="E238" t="s">
        <v>1291</v>
      </c>
      <c r="F238" t="s">
        <v>1292</v>
      </c>
      <c r="G238"/>
      <c r="H238"/>
      <c r="I238" t="s">
        <v>264</v>
      </c>
      <c r="J238"/>
      <c r="K238"/>
      <c r="L238"/>
      <c r="M238"/>
      <c r="N238"/>
      <c r="O238"/>
      <c r="P238"/>
      <c r="Q238"/>
      <c r="R238"/>
      <c r="S238"/>
      <c r="T238"/>
      <c r="U238"/>
      <c r="V238"/>
      <c r="W238"/>
      <c r="X238"/>
    </row>
    <row r="239" spans="1:24" ht="15">
      <c r="A239" t="s">
        <v>1293</v>
      </c>
      <c r="B239" t="s">
        <v>1294</v>
      </c>
      <c r="C239" t="s">
        <v>1295</v>
      </c>
      <c r="D239" t="s">
        <v>1296</v>
      </c>
      <c r="E239" t="s">
        <v>330</v>
      </c>
      <c r="F239" t="s">
        <v>37</v>
      </c>
      <c r="G239" t="s">
        <v>1297</v>
      </c>
      <c r="H239"/>
      <c r="I239"/>
      <c r="J239"/>
      <c r="K239"/>
      <c r="L239"/>
      <c r="M239"/>
      <c r="N239"/>
      <c r="O239"/>
      <c r="P239"/>
      <c r="Q239"/>
      <c r="R239"/>
      <c r="S239"/>
      <c r="T239"/>
      <c r="U239"/>
      <c r="V239"/>
      <c r="W239"/>
      <c r="X239"/>
    </row>
    <row r="240" spans="1:24" ht="15">
      <c r="A240" t="s">
        <v>1298</v>
      </c>
      <c r="B240" t="s">
        <v>1299</v>
      </c>
      <c r="C240" t="s">
        <v>1300</v>
      </c>
      <c r="D240"/>
      <c r="E240" t="s">
        <v>1301</v>
      </c>
      <c r="F240" t="s">
        <v>1302</v>
      </c>
      <c r="G240"/>
      <c r="H240"/>
      <c r="I240" t="s">
        <v>264</v>
      </c>
      <c r="J240"/>
      <c r="K240"/>
      <c r="L240"/>
      <c r="M240"/>
      <c r="N240"/>
      <c r="O240"/>
      <c r="P240"/>
      <c r="Q240"/>
      <c r="R240"/>
      <c r="S240"/>
      <c r="T240"/>
      <c r="U240"/>
      <c r="V240"/>
      <c r="W240"/>
      <c r="X240"/>
    </row>
    <row r="241" spans="1:24" ht="15">
      <c r="A241" t="s">
        <v>1303</v>
      </c>
      <c r="B241" t="s">
        <v>1304</v>
      </c>
      <c r="C241" t="s">
        <v>1305</v>
      </c>
      <c r="D241" t="s">
        <v>1306</v>
      </c>
      <c r="E241" t="s">
        <v>264</v>
      </c>
      <c r="F241" t="s">
        <v>37</v>
      </c>
      <c r="G241" t="s">
        <v>1307</v>
      </c>
      <c r="H241"/>
      <c r="I241"/>
      <c r="J241"/>
      <c r="K241"/>
      <c r="L241"/>
      <c r="M241"/>
      <c r="N241"/>
      <c r="O241"/>
      <c r="P241"/>
      <c r="Q241"/>
      <c r="R241"/>
      <c r="S241"/>
      <c r="T241"/>
      <c r="U241"/>
      <c r="V241"/>
      <c r="W241"/>
      <c r="X241"/>
    </row>
    <row r="242" spans="1:24" ht="15">
      <c r="A242" t="s">
        <v>1308</v>
      </c>
      <c r="B242" t="s">
        <v>1309</v>
      </c>
      <c r="C242" t="s">
        <v>1310</v>
      </c>
      <c r="D242"/>
      <c r="E242" t="s">
        <v>1311</v>
      </c>
      <c r="F242" t="s">
        <v>1312</v>
      </c>
      <c r="G242"/>
      <c r="H242"/>
      <c r="I242" t="s">
        <v>210</v>
      </c>
      <c r="J242"/>
      <c r="K242"/>
      <c r="L242"/>
      <c r="M242"/>
      <c r="N242"/>
      <c r="O242"/>
      <c r="P242"/>
      <c r="Q242"/>
      <c r="R242"/>
      <c r="S242"/>
      <c r="T242"/>
      <c r="U242"/>
      <c r="V242"/>
      <c r="W242"/>
      <c r="X242"/>
    </row>
    <row r="243" spans="1:24" ht="15">
      <c r="A243" t="s">
        <v>1313</v>
      </c>
      <c r="B243" t="s">
        <v>1314</v>
      </c>
      <c r="C243" t="s">
        <v>1315</v>
      </c>
      <c r="D243" t="s">
        <v>196</v>
      </c>
      <c r="E243" t="s">
        <v>264</v>
      </c>
      <c r="F243" t="s">
        <v>37</v>
      </c>
      <c r="G243" t="s">
        <v>1316</v>
      </c>
      <c r="H243"/>
      <c r="I243"/>
      <c r="J243"/>
      <c r="K243"/>
      <c r="L243"/>
      <c r="M243"/>
      <c r="N243"/>
      <c r="O243"/>
      <c r="P243"/>
      <c r="Q243"/>
      <c r="R243"/>
      <c r="S243"/>
      <c r="T243"/>
      <c r="U243"/>
      <c r="V243"/>
      <c r="W243"/>
      <c r="X243"/>
    </row>
    <row r="244" spans="1:24" ht="15">
      <c r="A244" t="s">
        <v>1317</v>
      </c>
      <c r="B244" t="s">
        <v>836</v>
      </c>
      <c r="C244" t="s">
        <v>1318</v>
      </c>
      <c r="D244"/>
      <c r="E244" t="s">
        <v>1319</v>
      </c>
      <c r="F244" t="s">
        <v>1320</v>
      </c>
      <c r="G244"/>
      <c r="H244"/>
      <c r="I244" t="s">
        <v>264</v>
      </c>
      <c r="J244"/>
      <c r="K244"/>
      <c r="L244"/>
      <c r="M244"/>
      <c r="N244"/>
      <c r="O244"/>
      <c r="P244"/>
      <c r="Q244"/>
      <c r="R244"/>
      <c r="S244"/>
      <c r="T244"/>
      <c r="U244"/>
      <c r="V244"/>
      <c r="W244"/>
      <c r="X244"/>
    </row>
    <row r="245" spans="1:24" ht="15">
      <c r="A245" t="s">
        <v>1321</v>
      </c>
      <c r="B245" t="s">
        <v>1322</v>
      </c>
      <c r="C245" t="s">
        <v>1323</v>
      </c>
      <c r="D245"/>
      <c r="E245" t="s">
        <v>1324</v>
      </c>
      <c r="F245" t="s">
        <v>1325</v>
      </c>
      <c r="G245"/>
      <c r="H245"/>
      <c r="I245" t="s">
        <v>284</v>
      </c>
      <c r="J245"/>
      <c r="K245"/>
      <c r="L245"/>
      <c r="M245"/>
      <c r="N245"/>
      <c r="O245"/>
      <c r="P245"/>
      <c r="Q245"/>
      <c r="R245"/>
      <c r="S245"/>
      <c r="T245"/>
      <c r="U245"/>
      <c r="V245"/>
      <c r="W245"/>
      <c r="X245"/>
    </row>
    <row r="246" spans="1:24" ht="15">
      <c r="A246" t="s">
        <v>1326</v>
      </c>
      <c r="B246" t="s">
        <v>1327</v>
      </c>
      <c r="C246" t="s">
        <v>1328</v>
      </c>
      <c r="D246"/>
      <c r="E246" t="s">
        <v>1329</v>
      </c>
      <c r="F246" t="s">
        <v>623</v>
      </c>
      <c r="G246"/>
      <c r="H246"/>
      <c r="I246" t="s">
        <v>210</v>
      </c>
      <c r="J246"/>
      <c r="K246"/>
      <c r="L246"/>
      <c r="M246"/>
      <c r="N246"/>
      <c r="O246"/>
      <c r="P246"/>
      <c r="Q246"/>
      <c r="R246"/>
      <c r="S246"/>
      <c r="T246"/>
      <c r="U246"/>
      <c r="V246"/>
      <c r="W246"/>
      <c r="X246"/>
    </row>
    <row r="247" spans="1:24" ht="15">
      <c r="A247" t="s">
        <v>1330</v>
      </c>
      <c r="B247" t="s">
        <v>1331</v>
      </c>
      <c r="C247" t="s">
        <v>1332</v>
      </c>
      <c r="D247"/>
      <c r="E247" t="s">
        <v>1333</v>
      </c>
      <c r="F247" t="s">
        <v>1334</v>
      </c>
      <c r="G247"/>
      <c r="H247"/>
      <c r="I247" t="s">
        <v>264</v>
      </c>
      <c r="J247"/>
      <c r="K247"/>
      <c r="L247"/>
      <c r="M247"/>
      <c r="N247"/>
      <c r="O247"/>
      <c r="P247"/>
      <c r="Q247"/>
      <c r="R247"/>
      <c r="S247"/>
      <c r="T247"/>
      <c r="U247"/>
      <c r="V247"/>
      <c r="W247"/>
      <c r="X247"/>
    </row>
    <row r="248" spans="1:24" ht="15">
      <c r="A248" t="s">
        <v>1335</v>
      </c>
      <c r="B248" t="s">
        <v>1336</v>
      </c>
      <c r="C248" t="s">
        <v>1337</v>
      </c>
      <c r="D248" t="s">
        <v>196</v>
      </c>
      <c r="E248" t="s">
        <v>264</v>
      </c>
      <c r="F248" t="s">
        <v>37</v>
      </c>
      <c r="G248" t="s">
        <v>1338</v>
      </c>
      <c r="H248"/>
      <c r="I248"/>
      <c r="J248"/>
      <c r="K248"/>
      <c r="L248"/>
      <c r="M248"/>
      <c r="N248"/>
      <c r="O248"/>
      <c r="P248"/>
      <c r="Q248"/>
      <c r="R248"/>
      <c r="S248"/>
      <c r="T248"/>
      <c r="U248"/>
      <c r="V248"/>
      <c r="W248"/>
      <c r="X248"/>
    </row>
    <row r="249" spans="1:24" ht="15">
      <c r="A249" t="s">
        <v>1339</v>
      </c>
      <c r="B249" t="s">
        <v>1340</v>
      </c>
      <c r="C249" t="s">
        <v>1341</v>
      </c>
      <c r="D249"/>
      <c r="E249" t="s">
        <v>1342</v>
      </c>
      <c r="F249" t="s">
        <v>1343</v>
      </c>
      <c r="G249" t="s">
        <v>1344</v>
      </c>
      <c r="H249"/>
      <c r="I249" t="s">
        <v>1345</v>
      </c>
      <c r="J249"/>
      <c r="K249"/>
      <c r="L249"/>
      <c r="M249"/>
      <c r="N249"/>
      <c r="O249"/>
      <c r="P249"/>
      <c r="Q249"/>
      <c r="R249"/>
      <c r="S249"/>
      <c r="T249"/>
      <c r="U249"/>
      <c r="V249"/>
      <c r="W249"/>
      <c r="X249"/>
    </row>
    <row r="250" spans="1:24" ht="15">
      <c r="A250" t="s">
        <v>1346</v>
      </c>
      <c r="B250" t="s">
        <v>1347</v>
      </c>
      <c r="C250" t="s">
        <v>1348</v>
      </c>
      <c r="D250" t="s">
        <v>196</v>
      </c>
      <c r="E250" t="s">
        <v>1349</v>
      </c>
      <c r="F250" t="s">
        <v>159</v>
      </c>
      <c r="G250" t="s">
        <v>1350</v>
      </c>
      <c r="H250" t="s">
        <v>1351</v>
      </c>
      <c r="I250"/>
      <c r="J250"/>
      <c r="K250"/>
      <c r="L250"/>
      <c r="M250"/>
      <c r="N250"/>
      <c r="O250"/>
      <c r="P250"/>
      <c r="Q250"/>
      <c r="R250"/>
      <c r="S250"/>
      <c r="T250"/>
      <c r="U250"/>
      <c r="V250"/>
      <c r="W250"/>
      <c r="X250"/>
    </row>
    <row r="251" spans="1:24" ht="15">
      <c r="A251" t="s">
        <v>1352</v>
      </c>
      <c r="B251" t="s">
        <v>1353</v>
      </c>
      <c r="C251" t="s">
        <v>1354</v>
      </c>
      <c r="D251"/>
      <c r="E251" t="s">
        <v>1355</v>
      </c>
      <c r="F251" t="s">
        <v>1356</v>
      </c>
      <c r="G251"/>
      <c r="H251"/>
      <c r="I251" t="s">
        <v>210</v>
      </c>
      <c r="J251"/>
      <c r="K251"/>
      <c r="L251"/>
      <c r="M251"/>
      <c r="N251"/>
      <c r="O251"/>
      <c r="P251"/>
      <c r="Q251"/>
      <c r="R251"/>
      <c r="S251"/>
      <c r="T251"/>
      <c r="U251"/>
      <c r="V251"/>
      <c r="W251"/>
      <c r="X251"/>
    </row>
    <row r="252" spans="1:24" ht="15">
      <c r="A252" t="s">
        <v>1357</v>
      </c>
      <c r="B252" t="s">
        <v>1358</v>
      </c>
      <c r="C252" t="s">
        <v>1359</v>
      </c>
      <c r="D252" t="s">
        <v>37</v>
      </c>
      <c r="E252" t="s">
        <v>1360</v>
      </c>
      <c r="F252"/>
      <c r="G252" t="s">
        <v>550</v>
      </c>
      <c r="H252" t="s">
        <v>264</v>
      </c>
      <c r="I252"/>
      <c r="J252"/>
      <c r="K252"/>
      <c r="L252"/>
      <c r="M252"/>
      <c r="N252"/>
      <c r="O252"/>
      <c r="P252"/>
      <c r="Q252"/>
      <c r="R252"/>
      <c r="S252"/>
      <c r="T252"/>
      <c r="U252"/>
      <c r="V252"/>
      <c r="W252"/>
      <c r="X252"/>
    </row>
    <row r="253" spans="1:24" ht="15">
      <c r="A253" t="s">
        <v>1361</v>
      </c>
      <c r="B253" t="s">
        <v>1362</v>
      </c>
      <c r="C253" t="s">
        <v>1363</v>
      </c>
      <c r="D253" t="s">
        <v>37</v>
      </c>
      <c r="E253" t="s">
        <v>1364</v>
      </c>
      <c r="F253"/>
      <c r="G253" t="s">
        <v>815</v>
      </c>
      <c r="H253" t="s">
        <v>235</v>
      </c>
      <c r="I253"/>
      <c r="J253"/>
      <c r="K253"/>
      <c r="L253"/>
      <c r="M253"/>
      <c r="N253"/>
      <c r="O253"/>
      <c r="P253"/>
      <c r="Q253"/>
      <c r="R253"/>
      <c r="S253"/>
      <c r="T253"/>
      <c r="U253"/>
      <c r="V253"/>
      <c r="W253"/>
      <c r="X253"/>
    </row>
    <row r="254" spans="1:24" ht="15">
      <c r="A254" t="s">
        <v>1365</v>
      </c>
      <c r="B254" t="s">
        <v>1366</v>
      </c>
      <c r="C254" t="s">
        <v>1367</v>
      </c>
      <c r="D254"/>
      <c r="E254" t="s">
        <v>1368</v>
      </c>
      <c r="F254" t="s">
        <v>1369</v>
      </c>
      <c r="G254"/>
      <c r="H254"/>
      <c r="I254" t="s">
        <v>210</v>
      </c>
      <c r="J254"/>
      <c r="K254"/>
      <c r="L254"/>
      <c r="M254"/>
      <c r="N254"/>
      <c r="O254"/>
      <c r="P254"/>
      <c r="Q254"/>
      <c r="R254"/>
      <c r="S254"/>
      <c r="T254"/>
      <c r="U254"/>
      <c r="V254"/>
      <c r="W254"/>
      <c r="X254"/>
    </row>
    <row r="255" spans="1:24" ht="15">
      <c r="A255" t="s">
        <v>1370</v>
      </c>
      <c r="B255" t="s">
        <v>1371</v>
      </c>
      <c r="C255" t="s">
        <v>1372</v>
      </c>
      <c r="D255"/>
      <c r="E255" t="s">
        <v>1373</v>
      </c>
      <c r="F255" t="s">
        <v>1374</v>
      </c>
      <c r="G255"/>
      <c r="H255"/>
      <c r="I255" t="s">
        <v>210</v>
      </c>
      <c r="J255"/>
      <c r="K255"/>
      <c r="L255"/>
      <c r="M255"/>
      <c r="N255"/>
      <c r="O255"/>
      <c r="P255"/>
      <c r="Q255"/>
      <c r="R255"/>
      <c r="S255"/>
      <c r="T255"/>
      <c r="U255"/>
      <c r="V255"/>
      <c r="W255"/>
      <c r="X255"/>
    </row>
    <row r="256" spans="1:24" ht="15">
      <c r="A256" t="s">
        <v>1375</v>
      </c>
      <c r="B256" t="s">
        <v>595</v>
      </c>
      <c r="C256" t="s">
        <v>1376</v>
      </c>
      <c r="D256"/>
      <c r="E256" t="s">
        <v>1377</v>
      </c>
      <c r="F256" t="s">
        <v>1378</v>
      </c>
      <c r="G256"/>
      <c r="H256"/>
      <c r="I256" t="s">
        <v>264</v>
      </c>
      <c r="J256"/>
      <c r="K256"/>
      <c r="L256"/>
      <c r="M256"/>
      <c r="N256"/>
      <c r="O256"/>
      <c r="P256"/>
      <c r="Q256"/>
      <c r="R256"/>
      <c r="S256"/>
      <c r="T256"/>
      <c r="U256"/>
      <c r="V256"/>
      <c r="W256"/>
      <c r="X256"/>
    </row>
    <row r="257" spans="1:24" ht="15">
      <c r="A257" t="s">
        <v>1379</v>
      </c>
      <c r="B257" t="s">
        <v>1380</v>
      </c>
      <c r="C257" t="s">
        <v>1381</v>
      </c>
      <c r="D257"/>
      <c r="E257" t="s">
        <v>1382</v>
      </c>
      <c r="F257" t="s">
        <v>1383</v>
      </c>
      <c r="G257"/>
      <c r="H257"/>
      <c r="I257" t="s">
        <v>210</v>
      </c>
      <c r="J257"/>
      <c r="K257"/>
      <c r="L257"/>
      <c r="M257"/>
      <c r="N257"/>
      <c r="O257"/>
      <c r="P257"/>
      <c r="Q257"/>
      <c r="R257"/>
      <c r="S257"/>
      <c r="T257"/>
      <c r="U257"/>
      <c r="V257"/>
      <c r="W257"/>
      <c r="X257"/>
    </row>
    <row r="258" spans="1:24" ht="15">
      <c r="A258" t="s">
        <v>1384</v>
      </c>
      <c r="B258" t="s">
        <v>1385</v>
      </c>
      <c r="C258" t="s">
        <v>1386</v>
      </c>
      <c r="D258" t="s">
        <v>196</v>
      </c>
      <c r="E258" t="s">
        <v>235</v>
      </c>
      <c r="F258" t="s">
        <v>37</v>
      </c>
      <c r="G258" t="s">
        <v>1387</v>
      </c>
      <c r="H258"/>
      <c r="I258"/>
      <c r="J258"/>
      <c r="K258"/>
      <c r="L258"/>
      <c r="M258"/>
      <c r="N258"/>
      <c r="O258"/>
      <c r="P258"/>
      <c r="Q258"/>
      <c r="R258"/>
      <c r="S258"/>
      <c r="T258"/>
      <c r="U258"/>
      <c r="V258"/>
      <c r="W258"/>
      <c r="X258"/>
    </row>
    <row r="259" spans="1:24" ht="15">
      <c r="A259" t="s">
        <v>587</v>
      </c>
      <c r="B259" t="s">
        <v>1388</v>
      </c>
      <c r="C259" t="s">
        <v>1389</v>
      </c>
      <c r="D259" t="s">
        <v>196</v>
      </c>
      <c r="E259" t="s">
        <v>235</v>
      </c>
      <c r="F259" t="s">
        <v>37</v>
      </c>
      <c r="G259" t="s">
        <v>1390</v>
      </c>
      <c r="H259"/>
      <c r="I259"/>
      <c r="J259"/>
      <c r="K259"/>
      <c r="L259"/>
      <c r="M259"/>
      <c r="N259"/>
      <c r="O259"/>
      <c r="P259"/>
      <c r="Q259"/>
      <c r="R259"/>
      <c r="S259"/>
      <c r="T259"/>
      <c r="U259"/>
      <c r="V259"/>
      <c r="W259"/>
      <c r="X259"/>
    </row>
    <row r="260" spans="1:24" ht="15">
      <c r="A260" t="s">
        <v>55</v>
      </c>
      <c r="B260"/>
      <c r="C260" t="s">
        <v>56</v>
      </c>
      <c r="D260" s="99">
        <v>50000</v>
      </c>
      <c r="E260" t="s">
        <v>83</v>
      </c>
      <c r="F260" s="100">
        <v>46296</v>
      </c>
      <c r="G260" t="s">
        <v>57</v>
      </c>
      <c r="H260"/>
      <c r="I260"/>
      <c r="J260"/>
      <c r="K260"/>
      <c r="L260"/>
      <c r="M260"/>
      <c r="N260"/>
      <c r="O260"/>
      <c r="P260"/>
      <c r="Q260"/>
      <c r="R260"/>
      <c r="S260"/>
      <c r="T260"/>
      <c r="U260"/>
      <c r="V260"/>
      <c r="W260"/>
      <c r="X260"/>
    </row>
    <row r="261" spans="1:24" ht="15">
      <c r="A261" t="s">
        <v>1391</v>
      </c>
      <c r="B261" t="s">
        <v>1392</v>
      </c>
      <c r="C261" t="s">
        <v>1393</v>
      </c>
      <c r="D261" t="s">
        <v>1394</v>
      </c>
      <c r="E261" t="s">
        <v>235</v>
      </c>
      <c r="F261" t="s">
        <v>1395</v>
      </c>
      <c r="G261" t="s">
        <v>1396</v>
      </c>
      <c r="H261"/>
      <c r="I261"/>
      <c r="J261"/>
      <c r="K261"/>
      <c r="L261"/>
      <c r="M261"/>
      <c r="N261"/>
      <c r="O261"/>
      <c r="P261"/>
      <c r="Q261"/>
      <c r="R261"/>
      <c r="S261"/>
      <c r="T261"/>
      <c r="U261"/>
      <c r="V261"/>
      <c r="W261"/>
      <c r="X261"/>
    </row>
    <row r="262" spans="1:24" ht="15">
      <c r="A262" t="s">
        <v>1397</v>
      </c>
      <c r="B262" t="s">
        <v>1398</v>
      </c>
      <c r="C262" t="s">
        <v>1399</v>
      </c>
      <c r="D262" t="s">
        <v>159</v>
      </c>
      <c r="E262" t="s">
        <v>1400</v>
      </c>
      <c r="F262"/>
      <c r="G262" t="s">
        <v>196</v>
      </c>
      <c r="H262" t="s">
        <v>235</v>
      </c>
      <c r="I262"/>
      <c r="J262"/>
      <c r="K262"/>
      <c r="L262"/>
      <c r="M262"/>
      <c r="N262"/>
      <c r="O262"/>
      <c r="P262"/>
      <c r="Q262"/>
      <c r="R262"/>
      <c r="S262"/>
      <c r="T262"/>
      <c r="U262"/>
      <c r="V262"/>
      <c r="W262"/>
      <c r="X262"/>
    </row>
    <row r="263" spans="1:24" ht="15">
      <c r="A263" t="s">
        <v>1401</v>
      </c>
      <c r="B263" t="s">
        <v>1402</v>
      </c>
      <c r="C263" t="s">
        <v>1403</v>
      </c>
      <c r="D263" t="s">
        <v>1404</v>
      </c>
      <c r="E263" t="s">
        <v>646</v>
      </c>
      <c r="F263" t="s">
        <v>159</v>
      </c>
      <c r="G263" t="s">
        <v>1405</v>
      </c>
      <c r="H263"/>
      <c r="I263"/>
      <c r="J263"/>
      <c r="K263"/>
      <c r="L263"/>
      <c r="M263"/>
      <c r="N263"/>
      <c r="O263"/>
      <c r="P263"/>
      <c r="Q263"/>
      <c r="R263"/>
      <c r="S263"/>
      <c r="T263"/>
      <c r="U263"/>
      <c r="V263"/>
      <c r="W263"/>
      <c r="X263"/>
    </row>
    <row r="264" spans="1:24" ht="15">
      <c r="A264" t="s">
        <v>1406</v>
      </c>
      <c r="B264" t="s">
        <v>1407</v>
      </c>
      <c r="C264" t="s">
        <v>1408</v>
      </c>
      <c r="D264"/>
      <c r="E264" t="s">
        <v>1409</v>
      </c>
      <c r="F264" t="s">
        <v>224</v>
      </c>
      <c r="G264"/>
      <c r="H264"/>
      <c r="I264" t="s">
        <v>264</v>
      </c>
      <c r="J264"/>
      <c r="K264"/>
      <c r="L264"/>
      <c r="M264"/>
      <c r="N264"/>
      <c r="O264"/>
      <c r="P264"/>
      <c r="Q264"/>
      <c r="R264"/>
      <c r="S264"/>
      <c r="T264"/>
      <c r="U264"/>
      <c r="V264"/>
      <c r="W264"/>
      <c r="X264"/>
    </row>
    <row r="265" spans="1:24" ht="15">
      <c r="A265" t="s">
        <v>1410</v>
      </c>
      <c r="B265" t="s">
        <v>1411</v>
      </c>
      <c r="C265" t="s">
        <v>1412</v>
      </c>
      <c r="D265"/>
      <c r="E265" t="s">
        <v>1413</v>
      </c>
      <c r="F265" t="s">
        <v>1414</v>
      </c>
      <c r="G265"/>
      <c r="H265"/>
      <c r="I265" t="s">
        <v>264</v>
      </c>
      <c r="J265"/>
      <c r="K265"/>
      <c r="L265"/>
      <c r="M265"/>
      <c r="N265"/>
      <c r="O265"/>
      <c r="P265"/>
      <c r="Q265"/>
      <c r="R265"/>
      <c r="S265"/>
      <c r="T265"/>
      <c r="U265"/>
      <c r="V265"/>
      <c r="W265"/>
      <c r="X265"/>
    </row>
    <row r="266" spans="1:24" ht="15">
      <c r="A266" t="s">
        <v>1415</v>
      </c>
      <c r="B266" t="s">
        <v>1416</v>
      </c>
      <c r="C266" t="s">
        <v>1417</v>
      </c>
      <c r="D266"/>
      <c r="E266" t="s">
        <v>1418</v>
      </c>
      <c r="F266" t="s">
        <v>196</v>
      </c>
      <c r="G266"/>
      <c r="H266"/>
      <c r="I266" t="s">
        <v>264</v>
      </c>
      <c r="J266"/>
      <c r="K266"/>
      <c r="L266"/>
      <c r="M266"/>
      <c r="N266"/>
      <c r="O266"/>
      <c r="P266"/>
      <c r="Q266"/>
      <c r="R266"/>
      <c r="S266"/>
      <c r="T266"/>
      <c r="U266"/>
      <c r="V266"/>
      <c r="W266"/>
      <c r="X266"/>
    </row>
    <row r="267" spans="1:24" ht="15">
      <c r="A267" t="s">
        <v>1419</v>
      </c>
      <c r="B267" t="s">
        <v>1420</v>
      </c>
      <c r="C267" t="s">
        <v>1421</v>
      </c>
      <c r="D267"/>
      <c r="E267" t="s">
        <v>1422</v>
      </c>
      <c r="F267" t="s">
        <v>196</v>
      </c>
      <c r="G267"/>
      <c r="H267"/>
      <c r="I267" t="s">
        <v>196</v>
      </c>
      <c r="J267"/>
      <c r="K267"/>
      <c r="L267"/>
      <c r="M267"/>
      <c r="N267"/>
      <c r="O267"/>
      <c r="P267"/>
      <c r="Q267"/>
      <c r="R267"/>
      <c r="S267"/>
      <c r="T267"/>
      <c r="U267"/>
      <c r="V267"/>
      <c r="W267"/>
      <c r="X267"/>
    </row>
    <row r="268" spans="1:24" ht="15">
      <c r="A268" t="s">
        <v>1423</v>
      </c>
      <c r="B268" t="s">
        <v>1424</v>
      </c>
      <c r="C268" t="s">
        <v>1425</v>
      </c>
      <c r="D268" t="s">
        <v>196</v>
      </c>
      <c r="E268" t="s">
        <v>646</v>
      </c>
      <c r="F268" t="s">
        <v>37</v>
      </c>
      <c r="G268" t="s">
        <v>1426</v>
      </c>
      <c r="H268"/>
      <c r="I268"/>
      <c r="J268"/>
      <c r="K268"/>
      <c r="L268"/>
      <c r="M268"/>
      <c r="N268"/>
      <c r="O268"/>
      <c r="P268"/>
      <c r="Q268"/>
      <c r="R268"/>
      <c r="S268"/>
      <c r="T268"/>
      <c r="U268"/>
      <c r="V268"/>
      <c r="W268"/>
      <c r="X268"/>
    </row>
    <row r="269" spans="1:24" ht="15">
      <c r="A269" t="s">
        <v>1427</v>
      </c>
      <c r="B269" t="s">
        <v>1428</v>
      </c>
      <c r="C269" t="s">
        <v>1429</v>
      </c>
      <c r="D269"/>
      <c r="E269" t="s">
        <v>1430</v>
      </c>
      <c r="F269" t="s">
        <v>1431</v>
      </c>
      <c r="G269" t="s">
        <v>1432</v>
      </c>
      <c r="H269"/>
      <c r="I269" t="s">
        <v>1433</v>
      </c>
      <c r="J269"/>
      <c r="K269"/>
      <c r="L269"/>
      <c r="M269"/>
      <c r="N269"/>
      <c r="O269"/>
      <c r="P269"/>
      <c r="Q269"/>
      <c r="R269"/>
      <c r="S269"/>
      <c r="T269"/>
      <c r="U269"/>
      <c r="V269"/>
      <c r="W269"/>
      <c r="X269"/>
    </row>
    <row r="270" spans="1:24" ht="15">
      <c r="A270" t="s">
        <v>1434</v>
      </c>
      <c r="B270" t="s">
        <v>1435</v>
      </c>
      <c r="C270" t="s">
        <v>1436</v>
      </c>
      <c r="D270" t="s">
        <v>37</v>
      </c>
      <c r="E270" t="s">
        <v>1437</v>
      </c>
      <c r="F270"/>
      <c r="G270" t="s">
        <v>1438</v>
      </c>
      <c r="H270" t="s">
        <v>1439</v>
      </c>
      <c r="I270"/>
      <c r="J270"/>
      <c r="K270"/>
      <c r="L270"/>
      <c r="M270"/>
      <c r="N270"/>
      <c r="O270"/>
      <c r="P270"/>
      <c r="Q270"/>
      <c r="R270"/>
      <c r="S270"/>
      <c r="T270"/>
      <c r="U270"/>
      <c r="V270"/>
      <c r="W270"/>
      <c r="X270"/>
    </row>
    <row r="271" spans="1:24" ht="15">
      <c r="A271" t="s">
        <v>1440</v>
      </c>
      <c r="B271" t="s">
        <v>1441</v>
      </c>
      <c r="C271" t="s">
        <v>1442</v>
      </c>
      <c r="D271"/>
      <c r="E271" t="s">
        <v>1443</v>
      </c>
      <c r="F271" t="s">
        <v>196</v>
      </c>
      <c r="G271"/>
      <c r="H271"/>
      <c r="I271" t="s">
        <v>264</v>
      </c>
      <c r="J271"/>
      <c r="K271"/>
      <c r="L271"/>
      <c r="M271"/>
      <c r="N271"/>
      <c r="O271"/>
      <c r="P271"/>
      <c r="Q271"/>
      <c r="R271"/>
      <c r="S271"/>
      <c r="T271"/>
      <c r="U271"/>
      <c r="V271"/>
      <c r="W271"/>
      <c r="X271"/>
    </row>
    <row r="272" spans="1:24" ht="15">
      <c r="A272" t="s">
        <v>1444</v>
      </c>
      <c r="B272" t="s">
        <v>907</v>
      </c>
      <c r="C272" t="s">
        <v>1445</v>
      </c>
      <c r="D272"/>
      <c r="E272" t="s">
        <v>1446</v>
      </c>
      <c r="F272" t="s">
        <v>210</v>
      </c>
      <c r="G272"/>
      <c r="H272"/>
      <c r="I272" t="s">
        <v>264</v>
      </c>
      <c r="J272"/>
      <c r="K272"/>
      <c r="L272"/>
      <c r="M272"/>
      <c r="N272"/>
      <c r="O272"/>
      <c r="P272"/>
      <c r="Q272"/>
      <c r="R272"/>
      <c r="S272"/>
      <c r="T272"/>
      <c r="U272"/>
      <c r="V272"/>
      <c r="W272"/>
      <c r="X272"/>
    </row>
    <row r="273" spans="1:24" ht="15">
      <c r="A273" t="s">
        <v>1447</v>
      </c>
      <c r="B273" t="s">
        <v>1448</v>
      </c>
      <c r="C273" t="s">
        <v>1449</v>
      </c>
      <c r="D273" t="s">
        <v>1450</v>
      </c>
      <c r="E273" t="s">
        <v>235</v>
      </c>
      <c r="F273" t="s">
        <v>159</v>
      </c>
      <c r="G273" t="s">
        <v>1451</v>
      </c>
      <c r="H273"/>
      <c r="I273"/>
      <c r="J273"/>
      <c r="K273"/>
      <c r="L273"/>
      <c r="M273"/>
      <c r="N273"/>
      <c r="O273"/>
      <c r="P273"/>
      <c r="Q273"/>
      <c r="R273"/>
      <c r="S273"/>
      <c r="T273"/>
      <c r="U273"/>
      <c r="V273"/>
      <c r="W273"/>
      <c r="X273"/>
    </row>
    <row r="274" spans="1:24" ht="15">
      <c r="A274" t="s">
        <v>1452</v>
      </c>
      <c r="B274" t="s">
        <v>1453</v>
      </c>
      <c r="C274" t="s">
        <v>1454</v>
      </c>
      <c r="D274"/>
      <c r="E274" t="s">
        <v>1455</v>
      </c>
      <c r="F274" t="s">
        <v>1456</v>
      </c>
      <c r="G274"/>
      <c r="H274"/>
      <c r="I274" t="s">
        <v>363</v>
      </c>
      <c r="J274"/>
      <c r="K274"/>
      <c r="L274"/>
      <c r="M274"/>
      <c r="N274"/>
      <c r="O274"/>
      <c r="P274"/>
      <c r="Q274"/>
      <c r="R274"/>
      <c r="S274"/>
      <c r="T274"/>
      <c r="U274"/>
      <c r="V274"/>
      <c r="W274"/>
      <c r="X274"/>
    </row>
    <row r="275" spans="1:24" ht="15">
      <c r="A275" t="s">
        <v>1457</v>
      </c>
      <c r="B275" t="s">
        <v>1458</v>
      </c>
      <c r="C275" t="s">
        <v>1459</v>
      </c>
      <c r="D275"/>
      <c r="E275" t="s">
        <v>1460</v>
      </c>
      <c r="F275" t="s">
        <v>1461</v>
      </c>
      <c r="G275"/>
      <c r="H275"/>
      <c r="I275" t="s">
        <v>196</v>
      </c>
      <c r="J275"/>
      <c r="K275"/>
      <c r="L275"/>
      <c r="M275"/>
      <c r="N275"/>
      <c r="O275"/>
      <c r="P275"/>
      <c r="Q275"/>
      <c r="R275"/>
      <c r="S275"/>
      <c r="T275"/>
      <c r="U275"/>
      <c r="V275"/>
      <c r="W275"/>
      <c r="X275"/>
    </row>
    <row r="276" spans="1:24" ht="15">
      <c r="A276" t="s">
        <v>1462</v>
      </c>
      <c r="B276" t="s">
        <v>1463</v>
      </c>
      <c r="C276" t="s">
        <v>1464</v>
      </c>
      <c r="D276" t="s">
        <v>196</v>
      </c>
      <c r="E276" t="s">
        <v>235</v>
      </c>
      <c r="F276" t="s">
        <v>37</v>
      </c>
      <c r="G276" t="s">
        <v>1465</v>
      </c>
      <c r="H276"/>
      <c r="I276"/>
      <c r="J276"/>
      <c r="K276"/>
      <c r="L276"/>
      <c r="M276"/>
      <c r="N276"/>
      <c r="O276"/>
      <c r="P276"/>
      <c r="Q276"/>
      <c r="R276"/>
      <c r="S276"/>
      <c r="T276"/>
      <c r="U276"/>
      <c r="V276"/>
      <c r="W276"/>
      <c r="X276"/>
    </row>
    <row r="277" spans="1:24" ht="15">
      <c r="A277" t="s">
        <v>1466</v>
      </c>
      <c r="B277" t="s">
        <v>916</v>
      </c>
      <c r="C277" t="s">
        <v>1467</v>
      </c>
      <c r="D277" t="s">
        <v>37</v>
      </c>
      <c r="E277" t="s">
        <v>1468</v>
      </c>
      <c r="F277"/>
      <c r="G277" t="s">
        <v>202</v>
      </c>
      <c r="H277" t="s">
        <v>196</v>
      </c>
      <c r="I277"/>
      <c r="J277"/>
      <c r="K277"/>
      <c r="L277"/>
      <c r="M277"/>
      <c r="N277"/>
      <c r="O277"/>
      <c r="P277"/>
      <c r="Q277"/>
      <c r="R277"/>
      <c r="S277"/>
      <c r="T277"/>
      <c r="U277"/>
      <c r="V277"/>
      <c r="W277"/>
      <c r="X277"/>
    </row>
    <row r="278" spans="1:24" ht="15">
      <c r="A278" t="s">
        <v>1469</v>
      </c>
      <c r="B278" t="s">
        <v>1470</v>
      </c>
      <c r="C278" t="s">
        <v>1471</v>
      </c>
      <c r="D278" t="s">
        <v>196</v>
      </c>
      <c r="E278" t="s">
        <v>235</v>
      </c>
      <c r="F278" t="s">
        <v>37</v>
      </c>
      <c r="G278" t="s">
        <v>1472</v>
      </c>
      <c r="H278"/>
      <c r="I278"/>
      <c r="J278"/>
      <c r="K278"/>
      <c r="L278"/>
      <c r="M278"/>
      <c r="N278"/>
      <c r="O278"/>
      <c r="P278"/>
      <c r="Q278"/>
      <c r="R278"/>
      <c r="S278"/>
      <c r="T278"/>
      <c r="U278"/>
      <c r="V278"/>
      <c r="W278"/>
      <c r="X278"/>
    </row>
    <row r="279" spans="1:24" ht="15">
      <c r="A279" t="s">
        <v>1473</v>
      </c>
      <c r="B279" t="s">
        <v>1474</v>
      </c>
      <c r="C279" t="s">
        <v>1475</v>
      </c>
      <c r="D279"/>
      <c r="E279" t="s">
        <v>1476</v>
      </c>
      <c r="F279" t="s">
        <v>1477</v>
      </c>
      <c r="G279"/>
      <c r="H279"/>
      <c r="I279" t="s">
        <v>1478</v>
      </c>
      <c r="J279"/>
      <c r="K279"/>
      <c r="L279"/>
      <c r="M279"/>
      <c r="N279"/>
      <c r="O279"/>
      <c r="P279"/>
      <c r="Q279"/>
      <c r="R279"/>
      <c r="S279"/>
      <c r="T279"/>
      <c r="U279"/>
      <c r="V279"/>
      <c r="W279"/>
      <c r="X279"/>
    </row>
    <row r="280" spans="1:24" ht="15">
      <c r="A280" t="s">
        <v>1479</v>
      </c>
      <c r="B280" t="s">
        <v>1480</v>
      </c>
      <c r="C280" t="s">
        <v>1481</v>
      </c>
      <c r="D280"/>
      <c r="E280" t="s">
        <v>1482</v>
      </c>
      <c r="F280" t="s">
        <v>1483</v>
      </c>
      <c r="G280"/>
      <c r="H280"/>
      <c r="I280" t="s">
        <v>1484</v>
      </c>
      <c r="J280"/>
      <c r="K280"/>
      <c r="L280"/>
      <c r="M280"/>
      <c r="N280"/>
      <c r="O280"/>
      <c r="P280"/>
      <c r="Q280"/>
      <c r="R280"/>
      <c r="S280"/>
      <c r="T280"/>
      <c r="U280"/>
      <c r="V280"/>
      <c r="W280"/>
      <c r="X280"/>
    </row>
    <row r="281" spans="1:24" ht="15">
      <c r="A281" t="s">
        <v>1485</v>
      </c>
      <c r="B281" t="s">
        <v>1485</v>
      </c>
      <c r="C281" t="s">
        <v>1486</v>
      </c>
      <c r="D281"/>
      <c r="E281" t="s">
        <v>1487</v>
      </c>
      <c r="F281" t="s">
        <v>1488</v>
      </c>
      <c r="G281"/>
      <c r="H281"/>
      <c r="I281" t="s">
        <v>210</v>
      </c>
      <c r="J281"/>
      <c r="K281"/>
      <c r="L281"/>
      <c r="M281"/>
      <c r="N281"/>
      <c r="O281"/>
      <c r="P281"/>
      <c r="Q281"/>
      <c r="R281"/>
      <c r="S281"/>
      <c r="T281"/>
      <c r="U281"/>
      <c r="V281"/>
      <c r="W281"/>
      <c r="X281"/>
    </row>
    <row r="282" spans="1:24" ht="15">
      <c r="A282" t="s">
        <v>1489</v>
      </c>
      <c r="B282" t="s">
        <v>1490</v>
      </c>
      <c r="C282" t="s">
        <v>1491</v>
      </c>
      <c r="D282" t="s">
        <v>1492</v>
      </c>
      <c r="E282">
        <v>46157</v>
      </c>
      <c r="F282" t="s">
        <v>37</v>
      </c>
      <c r="G282" t="s">
        <v>1493</v>
      </c>
      <c r="H282"/>
      <c r="I282"/>
      <c r="J282"/>
      <c r="K282"/>
      <c r="L282"/>
      <c r="M282"/>
      <c r="N282"/>
      <c r="O282"/>
      <c r="P282"/>
      <c r="Q282"/>
      <c r="R282"/>
      <c r="S282"/>
      <c r="T282"/>
      <c r="U282"/>
      <c r="V282"/>
      <c r="W282"/>
      <c r="X282"/>
    </row>
    <row r="283" spans="1:24" ht="15">
      <c r="A283" t="s">
        <v>1494</v>
      </c>
      <c r="B283" t="s">
        <v>1495</v>
      </c>
      <c r="C283" t="s">
        <v>1496</v>
      </c>
      <c r="D283"/>
      <c r="E283" t="s">
        <v>1497</v>
      </c>
      <c r="F283" t="s">
        <v>1498</v>
      </c>
      <c r="G283"/>
      <c r="H283"/>
      <c r="I283" t="s">
        <v>1478</v>
      </c>
      <c r="J283"/>
      <c r="K283"/>
      <c r="L283"/>
      <c r="M283"/>
      <c r="N283"/>
      <c r="O283"/>
      <c r="P283"/>
      <c r="Q283"/>
      <c r="R283"/>
      <c r="S283"/>
      <c r="T283"/>
      <c r="U283"/>
      <c r="V283"/>
      <c r="W283"/>
      <c r="X283"/>
    </row>
    <row r="284" spans="1:24" ht="15">
      <c r="A284" t="s">
        <v>1499</v>
      </c>
      <c r="B284" t="s">
        <v>1500</v>
      </c>
      <c r="C284" t="s">
        <v>1501</v>
      </c>
      <c r="D284" t="s">
        <v>159</v>
      </c>
      <c r="E284" t="s">
        <v>1502</v>
      </c>
      <c r="F284"/>
      <c r="G284" t="s">
        <v>196</v>
      </c>
      <c r="H284" t="s">
        <v>1503</v>
      </c>
      <c r="I284"/>
      <c r="J284"/>
      <c r="K284"/>
      <c r="L284"/>
      <c r="M284"/>
      <c r="N284"/>
      <c r="O284"/>
      <c r="P284"/>
      <c r="Q284"/>
      <c r="R284"/>
      <c r="S284"/>
      <c r="T284"/>
      <c r="U284"/>
      <c r="V284"/>
      <c r="W284"/>
      <c r="X284"/>
    </row>
    <row r="285" spans="1:24" ht="15">
      <c r="A285" t="s">
        <v>1504</v>
      </c>
      <c r="B285" t="s">
        <v>1505</v>
      </c>
      <c r="C285" t="s">
        <v>1506</v>
      </c>
      <c r="D285" t="s">
        <v>29</v>
      </c>
      <c r="E285"/>
      <c r="F285"/>
      <c r="G285"/>
      <c r="H285"/>
      <c r="I285"/>
      <c r="J285"/>
      <c r="K285"/>
      <c r="L285"/>
      <c r="M285"/>
      <c r="N285"/>
      <c r="O285"/>
      <c r="P285"/>
      <c r="Q285"/>
      <c r="R285"/>
      <c r="S285"/>
      <c r="T285"/>
      <c r="U285"/>
      <c r="V285"/>
      <c r="W285"/>
      <c r="X285"/>
    </row>
    <row r="286" spans="1:24" ht="15">
      <c r="A286" t="s">
        <v>1507</v>
      </c>
      <c r="B286" t="s">
        <v>1508</v>
      </c>
      <c r="C286" t="s">
        <v>1509</v>
      </c>
      <c r="D286"/>
      <c r="E286" t="s">
        <v>1510</v>
      </c>
      <c r="F286" t="s">
        <v>1511</v>
      </c>
      <c r="G286"/>
      <c r="H286"/>
      <c r="I286" t="s">
        <v>264</v>
      </c>
      <c r="J286"/>
      <c r="K286"/>
      <c r="L286"/>
      <c r="M286"/>
      <c r="N286"/>
      <c r="O286"/>
      <c r="P286"/>
      <c r="Q286"/>
      <c r="R286"/>
      <c r="S286"/>
      <c r="T286"/>
      <c r="U286"/>
      <c r="V286"/>
      <c r="W286"/>
      <c r="X286"/>
    </row>
    <row r="287" spans="1:24" ht="15">
      <c r="A287" t="s">
        <v>1512</v>
      </c>
      <c r="B287" t="s">
        <v>1513</v>
      </c>
      <c r="C287" t="s">
        <v>1514</v>
      </c>
      <c r="D287"/>
      <c r="E287" t="s">
        <v>1515</v>
      </c>
      <c r="F287" t="s">
        <v>196</v>
      </c>
      <c r="G287"/>
      <c r="H287"/>
      <c r="I287" t="s">
        <v>264</v>
      </c>
      <c r="J287"/>
      <c r="K287"/>
      <c r="L287"/>
      <c r="M287"/>
      <c r="N287"/>
      <c r="O287"/>
      <c r="P287"/>
      <c r="Q287"/>
      <c r="R287"/>
      <c r="S287"/>
      <c r="T287"/>
      <c r="U287"/>
      <c r="V287"/>
      <c r="W287"/>
      <c r="X287"/>
    </row>
    <row r="288" spans="1:24" ht="15">
      <c r="A288" t="s">
        <v>1516</v>
      </c>
      <c r="B288" t="s">
        <v>1517</v>
      </c>
      <c r="C288" t="s">
        <v>1518</v>
      </c>
      <c r="D288" t="s">
        <v>196</v>
      </c>
      <c r="E288" t="s">
        <v>235</v>
      </c>
      <c r="F288" t="s">
        <v>37</v>
      </c>
      <c r="G288" t="s">
        <v>1338</v>
      </c>
      <c r="H288"/>
      <c r="I288"/>
      <c r="J288"/>
      <c r="K288"/>
      <c r="L288"/>
      <c r="M288"/>
      <c r="N288"/>
      <c r="O288"/>
      <c r="P288"/>
      <c r="Q288"/>
      <c r="R288"/>
      <c r="S288"/>
      <c r="T288"/>
      <c r="U288"/>
      <c r="V288"/>
      <c r="W288"/>
      <c r="X288"/>
    </row>
    <row r="289" spans="1:24" ht="15">
      <c r="A289" t="s">
        <v>1519</v>
      </c>
      <c r="B289" t="s">
        <v>1520</v>
      </c>
      <c r="C289" t="s">
        <v>1521</v>
      </c>
      <c r="D289" t="s">
        <v>37</v>
      </c>
      <c r="E289" t="s">
        <v>1522</v>
      </c>
      <c r="F289"/>
      <c r="G289" t="s">
        <v>196</v>
      </c>
      <c r="H289" t="s">
        <v>235</v>
      </c>
      <c r="I289"/>
      <c r="J289"/>
      <c r="K289"/>
      <c r="L289"/>
      <c r="M289"/>
      <c r="N289"/>
      <c r="O289"/>
      <c r="P289"/>
      <c r="Q289"/>
      <c r="R289"/>
      <c r="S289"/>
      <c r="T289"/>
      <c r="U289"/>
      <c r="V289"/>
      <c r="W289"/>
      <c r="X289"/>
    </row>
    <row r="290" spans="1:24" ht="15">
      <c r="A290" t="s">
        <v>1523</v>
      </c>
      <c r="B290" t="s">
        <v>1520</v>
      </c>
      <c r="C290" t="s">
        <v>1524</v>
      </c>
      <c r="D290"/>
      <c r="E290" t="s">
        <v>1525</v>
      </c>
      <c r="F290" t="s">
        <v>1526</v>
      </c>
      <c r="G290"/>
      <c r="H290"/>
      <c r="I290" t="s">
        <v>264</v>
      </c>
      <c r="J290"/>
      <c r="K290"/>
      <c r="L290"/>
      <c r="M290"/>
      <c r="N290"/>
      <c r="O290"/>
      <c r="P290"/>
      <c r="Q290"/>
      <c r="R290"/>
      <c r="S290"/>
      <c r="T290"/>
      <c r="U290"/>
      <c r="V290"/>
      <c r="W290"/>
      <c r="X290"/>
    </row>
    <row r="291" spans="1:24" ht="15">
      <c r="A291" t="s">
        <v>1527</v>
      </c>
      <c r="B291" t="s">
        <v>1520</v>
      </c>
      <c r="C291" t="s">
        <v>1528</v>
      </c>
      <c r="D291"/>
      <c r="E291" t="s">
        <v>1529</v>
      </c>
      <c r="F291" t="s">
        <v>224</v>
      </c>
      <c r="G291"/>
      <c r="H291"/>
      <c r="I291" t="s">
        <v>264</v>
      </c>
      <c r="J291"/>
      <c r="K291"/>
      <c r="L291"/>
      <c r="M291"/>
      <c r="N291"/>
      <c r="O291"/>
      <c r="P291"/>
      <c r="Q291"/>
      <c r="R291"/>
      <c r="S291"/>
      <c r="T291"/>
      <c r="U291"/>
      <c r="V291"/>
      <c r="W291"/>
      <c r="X291"/>
    </row>
    <row r="292" spans="1:24" ht="15">
      <c r="A292" t="s">
        <v>1530</v>
      </c>
      <c r="B292" t="s">
        <v>1531</v>
      </c>
      <c r="C292" t="s">
        <v>1532</v>
      </c>
      <c r="D292"/>
      <c r="E292" t="s">
        <v>1533</v>
      </c>
      <c r="F292" t="s">
        <v>1534</v>
      </c>
      <c r="G292"/>
      <c r="H292"/>
      <c r="I292" t="s">
        <v>363</v>
      </c>
      <c r="J292"/>
      <c r="K292"/>
      <c r="L292"/>
      <c r="M292"/>
      <c r="N292"/>
      <c r="O292"/>
      <c r="P292"/>
      <c r="Q292"/>
      <c r="R292"/>
      <c r="S292"/>
      <c r="T292"/>
      <c r="U292"/>
      <c r="V292"/>
      <c r="W292"/>
      <c r="X292"/>
    </row>
    <row r="293" spans="1:24" ht="15">
      <c r="A293" t="s">
        <v>1535</v>
      </c>
      <c r="B293" t="s">
        <v>1536</v>
      </c>
      <c r="C293" t="s">
        <v>1537</v>
      </c>
      <c r="D293" t="s">
        <v>196</v>
      </c>
      <c r="E293" t="s">
        <v>235</v>
      </c>
      <c r="F293" t="s">
        <v>256</v>
      </c>
      <c r="G293" t="s">
        <v>1538</v>
      </c>
      <c r="H293"/>
      <c r="I293"/>
      <c r="J293"/>
      <c r="K293"/>
      <c r="L293"/>
      <c r="M293"/>
      <c r="N293"/>
      <c r="O293"/>
      <c r="P293"/>
      <c r="Q293"/>
      <c r="R293"/>
      <c r="S293"/>
      <c r="T293"/>
      <c r="U293"/>
      <c r="V293"/>
      <c r="W293"/>
      <c r="X293"/>
    </row>
    <row r="294" spans="1:24" ht="15">
      <c r="A294" t="s">
        <v>1539</v>
      </c>
      <c r="B294" t="s">
        <v>1540</v>
      </c>
      <c r="C294" t="s">
        <v>1541</v>
      </c>
      <c r="D294" t="s">
        <v>196</v>
      </c>
      <c r="E294" t="s">
        <v>422</v>
      </c>
      <c r="F294" t="s">
        <v>159</v>
      </c>
      <c r="G294" t="s">
        <v>1542</v>
      </c>
      <c r="H294" t="s">
        <v>1543</v>
      </c>
      <c r="I294"/>
      <c r="J294"/>
      <c r="K294"/>
      <c r="L294"/>
      <c r="M294"/>
      <c r="N294"/>
      <c r="O294"/>
      <c r="P294"/>
      <c r="Q294"/>
      <c r="R294"/>
      <c r="S294"/>
      <c r="T294"/>
      <c r="U294"/>
      <c r="V294"/>
      <c r="W294"/>
      <c r="X294"/>
    </row>
    <row r="295" spans="1:24" ht="15">
      <c r="A295" t="s">
        <v>1544</v>
      </c>
      <c r="B295" t="s">
        <v>1545</v>
      </c>
      <c r="C295" t="s">
        <v>1546</v>
      </c>
      <c r="D295"/>
      <c r="E295" t="s">
        <v>1547</v>
      </c>
      <c r="F295" t="s">
        <v>1548</v>
      </c>
      <c r="G295"/>
      <c r="H295"/>
      <c r="I295" t="s">
        <v>264</v>
      </c>
      <c r="J295"/>
      <c r="K295"/>
      <c r="L295"/>
      <c r="M295"/>
      <c r="N295"/>
      <c r="O295"/>
      <c r="P295"/>
      <c r="Q295"/>
      <c r="R295"/>
      <c r="S295"/>
      <c r="T295"/>
      <c r="U295"/>
      <c r="V295"/>
      <c r="W295"/>
      <c r="X295"/>
    </row>
    <row r="296" spans="1:24" ht="15">
      <c r="A296" t="s">
        <v>1549</v>
      </c>
      <c r="B296" t="s">
        <v>1550</v>
      </c>
      <c r="C296" t="s">
        <v>730</v>
      </c>
      <c r="D296" t="s">
        <v>196</v>
      </c>
      <c r="E296" t="s">
        <v>330</v>
      </c>
      <c r="F296" t="s">
        <v>159</v>
      </c>
      <c r="G296" t="s">
        <v>1551</v>
      </c>
      <c r="H296"/>
      <c r="I296"/>
      <c r="J296"/>
      <c r="K296"/>
      <c r="L296"/>
      <c r="M296"/>
      <c r="N296"/>
      <c r="O296"/>
      <c r="P296"/>
      <c r="Q296"/>
      <c r="R296"/>
      <c r="S296"/>
      <c r="T296"/>
      <c r="U296"/>
      <c r="V296"/>
      <c r="W296"/>
      <c r="X296"/>
    </row>
    <row r="297" spans="1:24" ht="15">
      <c r="A297" t="s">
        <v>1552</v>
      </c>
      <c r="B297"/>
      <c r="C297" t="s">
        <v>1553</v>
      </c>
      <c r="D297"/>
      <c r="E297" t="s">
        <v>1554</v>
      </c>
      <c r="F297"/>
      <c r="G297"/>
      <c r="H297" t="s">
        <v>1005</v>
      </c>
      <c r="I297">
        <v>46112</v>
      </c>
      <c r="J297"/>
      <c r="K297"/>
      <c r="L297"/>
      <c r="M297"/>
      <c r="N297"/>
      <c r="O297"/>
      <c r="P297"/>
      <c r="Q297"/>
      <c r="R297"/>
      <c r="S297"/>
      <c r="T297"/>
      <c r="U297"/>
      <c r="V297"/>
      <c r="W297"/>
      <c r="X297"/>
    </row>
    <row r="298" spans="1:24" ht="15">
      <c r="A298" t="s">
        <v>1555</v>
      </c>
      <c r="B298" t="s">
        <v>1556</v>
      </c>
      <c r="C298" t="s">
        <v>1557</v>
      </c>
      <c r="D298"/>
      <c r="E298" t="s">
        <v>1558</v>
      </c>
      <c r="F298" t="s">
        <v>623</v>
      </c>
      <c r="G298"/>
      <c r="H298"/>
      <c r="I298" t="s">
        <v>235</v>
      </c>
      <c r="J298"/>
      <c r="K298"/>
      <c r="L298"/>
      <c r="M298"/>
      <c r="N298"/>
      <c r="O298"/>
      <c r="P298"/>
      <c r="Q298"/>
      <c r="R298"/>
      <c r="S298"/>
      <c r="T298"/>
      <c r="U298"/>
      <c r="V298"/>
      <c r="W298"/>
      <c r="X298"/>
    </row>
    <row r="299" spans="1:24" ht="15">
      <c r="A299" t="s">
        <v>1559</v>
      </c>
      <c r="B299" t="s">
        <v>1560</v>
      </c>
      <c r="C299" t="s">
        <v>1561</v>
      </c>
      <c r="D299"/>
      <c r="E299" t="s">
        <v>1562</v>
      </c>
      <c r="F299" t="s">
        <v>1548</v>
      </c>
      <c r="G299"/>
      <c r="H299"/>
      <c r="I299" t="s">
        <v>264</v>
      </c>
      <c r="J299"/>
      <c r="K299"/>
      <c r="L299"/>
      <c r="M299"/>
      <c r="N299"/>
      <c r="O299"/>
      <c r="P299"/>
      <c r="Q299"/>
      <c r="R299"/>
      <c r="S299"/>
      <c r="T299"/>
      <c r="U299"/>
      <c r="V299"/>
      <c r="W299"/>
      <c r="X299"/>
    </row>
    <row r="300" spans="1:24" ht="15">
      <c r="A300" t="s">
        <v>1563</v>
      </c>
      <c r="B300" t="s">
        <v>1564</v>
      </c>
      <c r="C300" t="s">
        <v>1565</v>
      </c>
      <c r="D300"/>
      <c r="E300" t="s">
        <v>1566</v>
      </c>
      <c r="F300" t="s">
        <v>1567</v>
      </c>
      <c r="G300"/>
      <c r="H300"/>
      <c r="I300" t="s">
        <v>196</v>
      </c>
      <c r="J300"/>
      <c r="K300"/>
      <c r="L300"/>
      <c r="M300"/>
      <c r="N300"/>
      <c r="O300"/>
      <c r="P300"/>
      <c r="Q300"/>
      <c r="R300"/>
      <c r="S300"/>
      <c r="T300"/>
      <c r="U300"/>
      <c r="V300"/>
      <c r="W300"/>
      <c r="X300"/>
    </row>
    <row r="301" spans="1:24" ht="15">
      <c r="A301" t="s">
        <v>1568</v>
      </c>
      <c r="B301" t="s">
        <v>1569</v>
      </c>
      <c r="C301" t="s">
        <v>1570</v>
      </c>
      <c r="D301"/>
      <c r="E301" t="s">
        <v>1571</v>
      </c>
      <c r="F301" t="s">
        <v>1572</v>
      </c>
      <c r="G301"/>
      <c r="H301"/>
      <c r="I301" t="s">
        <v>363</v>
      </c>
      <c r="J301"/>
      <c r="K301"/>
      <c r="L301"/>
      <c r="M301"/>
      <c r="N301"/>
      <c r="O301"/>
      <c r="P301"/>
      <c r="Q301"/>
      <c r="R301"/>
      <c r="S301"/>
      <c r="T301"/>
      <c r="U301"/>
      <c r="V301"/>
      <c r="W301"/>
      <c r="X301"/>
    </row>
    <row r="302" spans="1:24" ht="15">
      <c r="A302" t="s">
        <v>1573</v>
      </c>
      <c r="B302"/>
      <c r="C302"/>
      <c r="D302"/>
      <c r="E302" t="s">
        <v>806</v>
      </c>
      <c r="F302"/>
      <c r="G302"/>
      <c r="H302"/>
      <c r="I302"/>
      <c r="J302"/>
      <c r="K302"/>
      <c r="L302"/>
      <c r="M302"/>
      <c r="N302"/>
      <c r="O302"/>
      <c r="P302"/>
      <c r="Q302"/>
      <c r="R302"/>
      <c r="S302"/>
      <c r="T302"/>
      <c r="U302"/>
      <c r="V302"/>
      <c r="W302"/>
      <c r="X302"/>
    </row>
    <row r="303" spans="1:24" ht="15">
      <c r="A303" t="s">
        <v>1574</v>
      </c>
      <c r="B303" t="s">
        <v>818</v>
      </c>
      <c r="C303" t="s">
        <v>1575</v>
      </c>
      <c r="D303" t="s">
        <v>196</v>
      </c>
      <c r="E303" t="s">
        <v>1576</v>
      </c>
      <c r="F303" t="s">
        <v>37</v>
      </c>
      <c r="G303" t="s">
        <v>1577</v>
      </c>
      <c r="H303"/>
      <c r="I303"/>
      <c r="J303"/>
      <c r="K303"/>
      <c r="L303"/>
      <c r="M303"/>
      <c r="N303"/>
      <c r="O303"/>
      <c r="P303"/>
      <c r="Q303"/>
      <c r="R303"/>
      <c r="S303"/>
      <c r="T303"/>
      <c r="U303"/>
      <c r="V303"/>
      <c r="W303"/>
      <c r="X303"/>
    </row>
    <row r="304" spans="1:24" ht="15">
      <c r="A304" t="s">
        <v>1578</v>
      </c>
      <c r="B304" t="s">
        <v>728</v>
      </c>
      <c r="C304" t="s">
        <v>1579</v>
      </c>
      <c r="D304" t="s">
        <v>196</v>
      </c>
      <c r="E304" t="s">
        <v>646</v>
      </c>
      <c r="F304" t="s">
        <v>37</v>
      </c>
      <c r="G304" t="s">
        <v>1580</v>
      </c>
      <c r="H304"/>
      <c r="I304"/>
      <c r="J304"/>
      <c r="K304"/>
      <c r="L304"/>
      <c r="M304"/>
      <c r="N304"/>
      <c r="O304"/>
      <c r="P304"/>
      <c r="Q304"/>
      <c r="R304"/>
      <c r="S304"/>
      <c r="T304"/>
      <c r="U304"/>
      <c r="V304"/>
      <c r="W304"/>
      <c r="X304"/>
    </row>
    <row r="305" spans="1:24" ht="15">
      <c r="A305" t="s">
        <v>1581</v>
      </c>
      <c r="B305"/>
      <c r="C305" t="s">
        <v>1582</v>
      </c>
      <c r="D305"/>
      <c r="E305" t="s">
        <v>1583</v>
      </c>
      <c r="F305"/>
      <c r="G305"/>
      <c r="H305" t="s">
        <v>480</v>
      </c>
      <c r="I305">
        <v>46052</v>
      </c>
      <c r="J305"/>
      <c r="K305"/>
      <c r="L305"/>
      <c r="M305"/>
      <c r="N305"/>
      <c r="O305"/>
      <c r="P305"/>
      <c r="Q305"/>
      <c r="R305"/>
      <c r="S305"/>
      <c r="T305"/>
      <c r="U305"/>
      <c r="V305"/>
      <c r="W305"/>
      <c r="X305"/>
    </row>
    <row r="306" spans="1:24" ht="15">
      <c r="A306" t="s">
        <v>1362</v>
      </c>
      <c r="B306" t="s">
        <v>1584</v>
      </c>
      <c r="C306" t="s">
        <v>1585</v>
      </c>
      <c r="D306" t="s">
        <v>1586</v>
      </c>
      <c r="E306">
        <v>46073</v>
      </c>
      <c r="F306" t="s">
        <v>159</v>
      </c>
      <c r="G306" t="s">
        <v>1587</v>
      </c>
      <c r="H306" t="s">
        <v>1588</v>
      </c>
      <c r="I306"/>
      <c r="J306"/>
      <c r="K306"/>
      <c r="L306"/>
      <c r="M306"/>
      <c r="N306"/>
      <c r="O306"/>
      <c r="P306"/>
      <c r="Q306"/>
      <c r="R306"/>
      <c r="S306"/>
      <c r="T306"/>
      <c r="U306"/>
      <c r="V306"/>
      <c r="W306"/>
      <c r="X306"/>
    </row>
    <row r="307" spans="1:24" ht="15">
      <c r="A307" t="s">
        <v>1589</v>
      </c>
      <c r="B307"/>
      <c r="C307"/>
      <c r="D307"/>
      <c r="E307" t="s">
        <v>1275</v>
      </c>
      <c r="F307"/>
      <c r="G307"/>
      <c r="H307"/>
      <c r="I307"/>
      <c r="J307"/>
      <c r="K307"/>
      <c r="L307"/>
      <c r="M307"/>
      <c r="N307"/>
      <c r="O307"/>
      <c r="P307"/>
      <c r="Q307"/>
      <c r="R307"/>
      <c r="S307"/>
      <c r="T307"/>
      <c r="U307"/>
      <c r="V307"/>
      <c r="W307"/>
      <c r="X307"/>
    </row>
    <row r="308" spans="1:24" ht="15">
      <c r="A308" t="s">
        <v>1590</v>
      </c>
      <c r="B308" t="s">
        <v>728</v>
      </c>
      <c r="C308" t="s">
        <v>1591</v>
      </c>
      <c r="D308" t="s">
        <v>196</v>
      </c>
      <c r="E308" s="101">
        <v>46082</v>
      </c>
      <c r="F308" t="s">
        <v>37</v>
      </c>
      <c r="G308" t="s">
        <v>1592</v>
      </c>
      <c r="H308"/>
      <c r="I308"/>
      <c r="J308"/>
      <c r="K308"/>
      <c r="L308"/>
      <c r="M308"/>
      <c r="N308"/>
      <c r="O308"/>
      <c r="P308"/>
      <c r="Q308"/>
      <c r="R308"/>
      <c r="S308"/>
      <c r="T308"/>
      <c r="U308"/>
      <c r="V308"/>
      <c r="W308"/>
      <c r="X308"/>
    </row>
    <row r="309" spans="1:24" ht="15">
      <c r="A309" t="s">
        <v>1593</v>
      </c>
      <c r="B309" t="s">
        <v>1594</v>
      </c>
      <c r="C309" t="s">
        <v>1595</v>
      </c>
      <c r="D309" t="s">
        <v>1147</v>
      </c>
      <c r="E309" t="s">
        <v>865</v>
      </c>
      <c r="F309" t="s">
        <v>37</v>
      </c>
      <c r="G309" t="s">
        <v>1596</v>
      </c>
      <c r="H309"/>
      <c r="I309"/>
      <c r="J309"/>
      <c r="K309"/>
      <c r="L309"/>
      <c r="M309"/>
      <c r="N309"/>
      <c r="O309"/>
      <c r="P309"/>
      <c r="Q309"/>
      <c r="R309"/>
      <c r="S309"/>
      <c r="T309"/>
      <c r="U309"/>
      <c r="V309"/>
      <c r="W309"/>
      <c r="X309"/>
    </row>
    <row r="310" spans="1:24" ht="15">
      <c r="A310" t="s">
        <v>1597</v>
      </c>
      <c r="B310" t="s">
        <v>1598</v>
      </c>
      <c r="C310" t="s">
        <v>1599</v>
      </c>
      <c r="D310"/>
      <c r="E310" t="s">
        <v>1600</v>
      </c>
      <c r="F310" t="s">
        <v>1601</v>
      </c>
      <c r="G310"/>
      <c r="H310"/>
      <c r="I310" t="s">
        <v>569</v>
      </c>
      <c r="J310"/>
      <c r="K310"/>
      <c r="L310"/>
      <c r="M310"/>
      <c r="N310"/>
      <c r="O310"/>
      <c r="P310"/>
      <c r="Q310"/>
      <c r="R310"/>
      <c r="S310"/>
      <c r="T310"/>
      <c r="U310"/>
      <c r="V310"/>
      <c r="W310"/>
      <c r="X310"/>
    </row>
    <row r="311" spans="1:24" ht="15">
      <c r="A311" t="s">
        <v>1602</v>
      </c>
      <c r="B311" t="s">
        <v>1603</v>
      </c>
      <c r="C311" t="s">
        <v>1604</v>
      </c>
      <c r="D311"/>
      <c r="E311" t="s">
        <v>1605</v>
      </c>
      <c r="F311" t="s">
        <v>1606</v>
      </c>
      <c r="G311"/>
      <c r="H311"/>
      <c r="I311" t="s">
        <v>210</v>
      </c>
      <c r="J311"/>
      <c r="K311"/>
      <c r="L311"/>
      <c r="M311"/>
      <c r="N311"/>
      <c r="O311"/>
      <c r="P311"/>
      <c r="Q311"/>
      <c r="R311"/>
      <c r="S311"/>
      <c r="T311"/>
      <c r="U311"/>
      <c r="V311"/>
      <c r="W311"/>
      <c r="X311"/>
    </row>
    <row r="312" spans="1:24" ht="15">
      <c r="A312" t="s">
        <v>1607</v>
      </c>
      <c r="B312" t="s">
        <v>1608</v>
      </c>
      <c r="C312" t="s">
        <v>1609</v>
      </c>
      <c r="D312"/>
      <c r="E312" t="s">
        <v>1610</v>
      </c>
      <c r="F312" t="s">
        <v>1611</v>
      </c>
      <c r="G312"/>
      <c r="H312"/>
      <c r="I312" t="s">
        <v>210</v>
      </c>
      <c r="J312"/>
      <c r="K312"/>
      <c r="L312"/>
      <c r="M312"/>
      <c r="N312"/>
      <c r="O312"/>
      <c r="P312"/>
      <c r="Q312"/>
      <c r="R312"/>
      <c r="S312"/>
      <c r="T312"/>
      <c r="U312"/>
      <c r="V312"/>
      <c r="W312"/>
      <c r="X312"/>
    </row>
    <row r="313" spans="1:24" ht="15">
      <c r="A313" t="s">
        <v>1612</v>
      </c>
      <c r="B313" t="s">
        <v>1613</v>
      </c>
      <c r="C313" t="s">
        <v>1614</v>
      </c>
      <c r="D313"/>
      <c r="E313" t="s">
        <v>1615</v>
      </c>
      <c r="F313" t="s">
        <v>196</v>
      </c>
      <c r="G313"/>
      <c r="H313"/>
      <c r="I313" t="s">
        <v>264</v>
      </c>
      <c r="J313"/>
      <c r="K313"/>
      <c r="L313"/>
      <c r="M313"/>
      <c r="N313"/>
      <c r="O313"/>
      <c r="P313"/>
      <c r="Q313"/>
      <c r="R313"/>
      <c r="S313"/>
      <c r="T313"/>
      <c r="U313"/>
      <c r="V313"/>
      <c r="W313"/>
      <c r="X313"/>
    </row>
    <row r="314" spans="1:24" ht="15">
      <c r="A314" t="s">
        <v>1616</v>
      </c>
      <c r="B314" t="s">
        <v>1617</v>
      </c>
      <c r="C314" t="s">
        <v>1618</v>
      </c>
      <c r="D314"/>
      <c r="E314" t="s">
        <v>1619</v>
      </c>
      <c r="F314" t="s">
        <v>1620</v>
      </c>
      <c r="G314"/>
      <c r="H314"/>
      <c r="I314" t="s">
        <v>210</v>
      </c>
      <c r="J314"/>
      <c r="K314"/>
      <c r="L314"/>
      <c r="M314"/>
      <c r="N314"/>
      <c r="O314"/>
      <c r="P314"/>
      <c r="Q314"/>
      <c r="R314"/>
      <c r="S314"/>
      <c r="T314"/>
      <c r="U314"/>
      <c r="V314"/>
      <c r="W314"/>
      <c r="X314"/>
    </row>
    <row r="315" spans="1:24" ht="15">
      <c r="A315" t="s">
        <v>1621</v>
      </c>
      <c r="B315" t="s">
        <v>1622</v>
      </c>
      <c r="C315" t="s">
        <v>1623</v>
      </c>
      <c r="D315"/>
      <c r="E315" t="s">
        <v>1624</v>
      </c>
      <c r="F315" t="s">
        <v>196</v>
      </c>
      <c r="G315"/>
      <c r="H315"/>
      <c r="I315" t="s">
        <v>210</v>
      </c>
      <c r="J315"/>
      <c r="K315"/>
      <c r="L315"/>
      <c r="M315"/>
      <c r="N315"/>
      <c r="O315"/>
      <c r="P315"/>
      <c r="Q315"/>
      <c r="R315"/>
      <c r="S315"/>
      <c r="T315"/>
      <c r="U315"/>
      <c r="V315"/>
      <c r="W315"/>
      <c r="X315"/>
    </row>
    <row r="316" spans="1:24" ht="15">
      <c r="A316" t="s">
        <v>1625</v>
      </c>
      <c r="B316" t="s">
        <v>1626</v>
      </c>
      <c r="C316" t="s">
        <v>1627</v>
      </c>
      <c r="D316"/>
      <c r="E316" t="s">
        <v>1628</v>
      </c>
      <c r="F316" t="s">
        <v>1629</v>
      </c>
      <c r="G316"/>
      <c r="H316"/>
      <c r="I316" t="s">
        <v>210</v>
      </c>
      <c r="J316"/>
      <c r="K316"/>
      <c r="L316"/>
      <c r="M316"/>
      <c r="N316"/>
      <c r="O316"/>
      <c r="P316"/>
      <c r="Q316"/>
      <c r="R316"/>
      <c r="S316"/>
      <c r="T316"/>
      <c r="U316"/>
      <c r="V316"/>
      <c r="W316"/>
      <c r="X316"/>
    </row>
    <row r="317" spans="1:24" ht="15">
      <c r="A317" t="s">
        <v>1630</v>
      </c>
      <c r="B317" t="s">
        <v>1631</v>
      </c>
      <c r="C317" t="s">
        <v>1632</v>
      </c>
      <c r="D317"/>
      <c r="E317" t="s">
        <v>1633</v>
      </c>
      <c r="F317" t="s">
        <v>1634</v>
      </c>
      <c r="G317"/>
      <c r="H317"/>
      <c r="I317" t="s">
        <v>196</v>
      </c>
      <c r="J317"/>
      <c r="K317"/>
      <c r="L317"/>
      <c r="M317"/>
      <c r="N317"/>
      <c r="O317"/>
      <c r="P317"/>
      <c r="Q317"/>
      <c r="R317"/>
      <c r="S317"/>
      <c r="T317"/>
      <c r="U317"/>
      <c r="V317"/>
      <c r="W317"/>
      <c r="X317"/>
    </row>
    <row r="318" spans="1:24" ht="15">
      <c r="A318" t="s">
        <v>1635</v>
      </c>
      <c r="B318" t="s">
        <v>1636</v>
      </c>
      <c r="C318" t="s">
        <v>1637</v>
      </c>
      <c r="D318"/>
      <c r="E318" t="s">
        <v>1638</v>
      </c>
      <c r="F318" t="s">
        <v>735</v>
      </c>
      <c r="G318"/>
      <c r="H318"/>
      <c r="I318" t="s">
        <v>210</v>
      </c>
      <c r="J318"/>
      <c r="K318"/>
      <c r="L318"/>
      <c r="M318"/>
      <c r="N318"/>
      <c r="O318"/>
      <c r="P318"/>
      <c r="Q318"/>
      <c r="R318"/>
      <c r="S318"/>
      <c r="T318"/>
      <c r="U318"/>
      <c r="V318"/>
      <c r="W318"/>
      <c r="X318"/>
    </row>
    <row r="319" spans="1:24" ht="15">
      <c r="A319" t="s">
        <v>1639</v>
      </c>
      <c r="B319" t="s">
        <v>1640</v>
      </c>
      <c r="C319" t="s">
        <v>1641</v>
      </c>
      <c r="D319"/>
      <c r="E319" t="s">
        <v>1642</v>
      </c>
      <c r="F319" t="s">
        <v>623</v>
      </c>
      <c r="G319"/>
      <c r="H319"/>
      <c r="I319" t="s">
        <v>210</v>
      </c>
      <c r="J319"/>
      <c r="K319"/>
      <c r="L319"/>
      <c r="M319"/>
      <c r="N319"/>
      <c r="O319"/>
      <c r="P319"/>
      <c r="Q319"/>
      <c r="R319"/>
      <c r="S319"/>
      <c r="T319"/>
      <c r="U319"/>
      <c r="V319"/>
      <c r="W319"/>
      <c r="X319"/>
    </row>
    <row r="320" spans="1:24" ht="15">
      <c r="A320" t="s">
        <v>989</v>
      </c>
      <c r="B320"/>
      <c r="C320"/>
      <c r="D320"/>
      <c r="E320" t="s">
        <v>504</v>
      </c>
      <c r="F320"/>
      <c r="G320"/>
      <c r="H320"/>
      <c r="I320"/>
      <c r="J320"/>
      <c r="K320"/>
      <c r="L320"/>
      <c r="M320"/>
      <c r="N320"/>
      <c r="O320"/>
      <c r="P320"/>
      <c r="Q320"/>
      <c r="R320"/>
      <c r="S320"/>
      <c r="T320"/>
      <c r="U320"/>
      <c r="V320"/>
      <c r="W320"/>
      <c r="X320"/>
    </row>
    <row r="321" spans="1:24" ht="15">
      <c r="A321" t="s">
        <v>1643</v>
      </c>
      <c r="B321" t="s">
        <v>1644</v>
      </c>
      <c r="C321" t="s">
        <v>1645</v>
      </c>
      <c r="D321"/>
      <c r="E321" t="s">
        <v>1646</v>
      </c>
      <c r="F321" t="s">
        <v>1647</v>
      </c>
      <c r="G321"/>
      <c r="H321"/>
      <c r="I321" t="s">
        <v>363</v>
      </c>
      <c r="J321"/>
      <c r="K321"/>
      <c r="L321"/>
      <c r="M321"/>
      <c r="N321"/>
      <c r="O321"/>
      <c r="P321"/>
      <c r="Q321"/>
      <c r="R321"/>
      <c r="S321"/>
      <c r="T321"/>
      <c r="U321"/>
      <c r="V321"/>
      <c r="W321"/>
      <c r="X321"/>
    </row>
    <row r="322" spans="1:24" ht="15">
      <c r="A322" t="s">
        <v>1648</v>
      </c>
      <c r="B322" t="s">
        <v>1649</v>
      </c>
      <c r="C322" t="s">
        <v>1650</v>
      </c>
      <c r="D322" t="s">
        <v>196</v>
      </c>
      <c r="E322" t="s">
        <v>235</v>
      </c>
      <c r="F322" t="s">
        <v>37</v>
      </c>
      <c r="G322" t="s">
        <v>1651</v>
      </c>
      <c r="H322"/>
      <c r="I322"/>
      <c r="J322"/>
      <c r="K322"/>
      <c r="L322"/>
      <c r="M322"/>
      <c r="N322"/>
      <c r="O322"/>
      <c r="P322"/>
      <c r="Q322"/>
      <c r="R322"/>
      <c r="S322"/>
      <c r="T322"/>
      <c r="U322"/>
      <c r="V322"/>
      <c r="W322"/>
      <c r="X322"/>
    </row>
    <row r="323" spans="1:24" ht="15">
      <c r="A323" t="s">
        <v>1652</v>
      </c>
      <c r="B323" t="s">
        <v>1653</v>
      </c>
      <c r="C323" t="s">
        <v>1654</v>
      </c>
      <c r="D323" t="s">
        <v>1655</v>
      </c>
      <c r="E323" t="s">
        <v>1656</v>
      </c>
      <c r="F323" t="s">
        <v>37</v>
      </c>
      <c r="G323" t="s">
        <v>1657</v>
      </c>
      <c r="H323" t="s">
        <v>1658</v>
      </c>
      <c r="I323"/>
      <c r="J323"/>
      <c r="K323"/>
      <c r="L323"/>
      <c r="M323"/>
      <c r="N323"/>
      <c r="O323"/>
      <c r="P323"/>
      <c r="Q323"/>
      <c r="R323"/>
      <c r="S323"/>
      <c r="T323"/>
      <c r="U323"/>
      <c r="V323"/>
      <c r="W323"/>
      <c r="X323"/>
    </row>
    <row r="324" spans="1:24" ht="15">
      <c r="A324" t="s">
        <v>1659</v>
      </c>
      <c r="B324" t="s">
        <v>1660</v>
      </c>
      <c r="C324" t="s">
        <v>1661</v>
      </c>
      <c r="D324"/>
      <c r="E324" t="s">
        <v>1662</v>
      </c>
      <c r="F324" t="s">
        <v>196</v>
      </c>
      <c r="G324"/>
      <c r="H324"/>
      <c r="I324" t="s">
        <v>264</v>
      </c>
      <c r="J324"/>
      <c r="K324"/>
      <c r="L324"/>
      <c r="M324"/>
      <c r="N324"/>
      <c r="O324"/>
      <c r="P324"/>
      <c r="Q324"/>
      <c r="R324"/>
      <c r="S324"/>
      <c r="T324"/>
      <c r="U324"/>
      <c r="V324"/>
      <c r="W324"/>
      <c r="X324"/>
    </row>
    <row r="325" spans="1:24" ht="15">
      <c r="A325" t="s">
        <v>1663</v>
      </c>
      <c r="B325" t="s">
        <v>1664</v>
      </c>
      <c r="C325" t="s">
        <v>1665</v>
      </c>
      <c r="D325"/>
      <c r="E325" t="s">
        <v>1666</v>
      </c>
      <c r="F325" t="s">
        <v>1667</v>
      </c>
      <c r="G325"/>
      <c r="H325"/>
      <c r="I325" t="s">
        <v>264</v>
      </c>
      <c r="J325"/>
      <c r="K325"/>
      <c r="L325"/>
      <c r="M325"/>
      <c r="N325"/>
      <c r="O325"/>
      <c r="P325"/>
      <c r="Q325"/>
      <c r="R325"/>
      <c r="S325"/>
      <c r="T325"/>
      <c r="U325"/>
      <c r="V325"/>
      <c r="W325"/>
      <c r="X325"/>
    </row>
    <row r="326" spans="1:24" ht="15">
      <c r="A326" t="s">
        <v>1668</v>
      </c>
      <c r="B326" t="s">
        <v>1669</v>
      </c>
      <c r="C326" t="s">
        <v>1670</v>
      </c>
      <c r="D326" t="s">
        <v>1671</v>
      </c>
      <c r="E326" t="s">
        <v>1672</v>
      </c>
      <c r="F326" t="s">
        <v>37</v>
      </c>
      <c r="G326" t="s">
        <v>1673</v>
      </c>
      <c r="H326" t="s">
        <v>1674</v>
      </c>
      <c r="I326"/>
      <c r="J326"/>
      <c r="K326"/>
      <c r="L326"/>
      <c r="M326"/>
      <c r="N326"/>
      <c r="O326"/>
      <c r="P326"/>
      <c r="Q326"/>
      <c r="R326"/>
      <c r="S326"/>
      <c r="T326"/>
      <c r="U326"/>
      <c r="V326"/>
      <c r="W326"/>
      <c r="X326"/>
    </row>
    <row r="327" spans="1:24" ht="15">
      <c r="A327" t="s">
        <v>1675</v>
      </c>
      <c r="B327" t="s">
        <v>1676</v>
      </c>
      <c r="C327" t="s">
        <v>1677</v>
      </c>
      <c r="D327" t="s">
        <v>1678</v>
      </c>
      <c r="E327" t="s">
        <v>235</v>
      </c>
      <c r="F327" t="s">
        <v>37</v>
      </c>
      <c r="G327" t="s">
        <v>1679</v>
      </c>
      <c r="H327" t="s">
        <v>1680</v>
      </c>
      <c r="I327"/>
      <c r="J327"/>
      <c r="K327"/>
      <c r="L327"/>
      <c r="M327"/>
      <c r="N327"/>
      <c r="O327"/>
      <c r="P327"/>
      <c r="Q327"/>
      <c r="R327"/>
      <c r="S327"/>
      <c r="T327"/>
      <c r="U327"/>
      <c r="V327"/>
      <c r="W327"/>
      <c r="X327"/>
    </row>
    <row r="328" spans="1:24" ht="15">
      <c r="A328" t="s">
        <v>1681</v>
      </c>
      <c r="B328" t="s">
        <v>1682</v>
      </c>
      <c r="C328" t="s">
        <v>1683</v>
      </c>
      <c r="D328"/>
      <c r="E328" t="s">
        <v>1684</v>
      </c>
      <c r="F328" t="s">
        <v>1685</v>
      </c>
      <c r="G328"/>
      <c r="H328"/>
      <c r="I328" t="s">
        <v>210</v>
      </c>
      <c r="J328"/>
      <c r="K328"/>
      <c r="L328"/>
      <c r="M328"/>
      <c r="N328"/>
      <c r="O328"/>
      <c r="P328"/>
      <c r="Q328"/>
      <c r="R328"/>
      <c r="S328"/>
      <c r="T328"/>
      <c r="U328"/>
      <c r="V328"/>
      <c r="W328"/>
      <c r="X328"/>
    </row>
    <row r="329" spans="1:24" ht="15">
      <c r="A329" t="s">
        <v>1686</v>
      </c>
      <c r="B329" t="s">
        <v>535</v>
      </c>
      <c r="C329" t="s">
        <v>1687</v>
      </c>
      <c r="D329"/>
      <c r="E329" t="s">
        <v>1688</v>
      </c>
      <c r="F329" t="s">
        <v>1689</v>
      </c>
      <c r="G329"/>
      <c r="H329"/>
      <c r="I329" t="s">
        <v>264</v>
      </c>
      <c r="J329"/>
      <c r="K329"/>
      <c r="L329"/>
      <c r="M329"/>
      <c r="N329"/>
      <c r="O329"/>
      <c r="P329"/>
      <c r="Q329"/>
      <c r="R329"/>
      <c r="S329"/>
      <c r="T329"/>
      <c r="U329"/>
      <c r="V329"/>
      <c r="W329"/>
      <c r="X329"/>
    </row>
    <row r="330" spans="1:24" ht="15">
      <c r="A330" t="s">
        <v>1690</v>
      </c>
      <c r="B330" t="s">
        <v>1691</v>
      </c>
      <c r="C330" t="s">
        <v>1692</v>
      </c>
      <c r="D330"/>
      <c r="E330" t="s">
        <v>1693</v>
      </c>
      <c r="F330" t="s">
        <v>1213</v>
      </c>
      <c r="G330"/>
      <c r="H330"/>
      <c r="I330" t="s">
        <v>1694</v>
      </c>
      <c r="J330"/>
      <c r="K330"/>
      <c r="L330"/>
      <c r="M330"/>
      <c r="N330"/>
      <c r="O330"/>
      <c r="P330"/>
      <c r="Q330"/>
      <c r="R330"/>
      <c r="S330"/>
      <c r="T330"/>
      <c r="U330"/>
      <c r="V330"/>
      <c r="W330"/>
      <c r="X330"/>
    </row>
    <row r="331" spans="1:24" ht="15">
      <c r="A331" t="s">
        <v>1695</v>
      </c>
      <c r="B331" t="s">
        <v>1696</v>
      </c>
      <c r="C331" t="s">
        <v>1697</v>
      </c>
      <c r="D331"/>
      <c r="E331" t="s">
        <v>1698</v>
      </c>
      <c r="F331" t="s">
        <v>623</v>
      </c>
      <c r="G331"/>
      <c r="H331"/>
      <c r="I331" t="s">
        <v>363</v>
      </c>
      <c r="J331"/>
      <c r="K331"/>
      <c r="L331"/>
      <c r="M331"/>
      <c r="N331"/>
      <c r="O331"/>
      <c r="P331"/>
      <c r="Q331"/>
      <c r="R331"/>
      <c r="S331"/>
      <c r="T331"/>
      <c r="U331"/>
      <c r="V331"/>
      <c r="W331"/>
      <c r="X331"/>
    </row>
    <row r="332" spans="1:24" ht="12.75"/>
    <row r="333" spans="1:24" ht="12.75"/>
    <row r="334" spans="1:24" ht="12.75"/>
    <row r="335" spans="1:24" ht="12.75"/>
    <row r="336" spans="1:24" ht="12.75"/>
  </sheetData>
  <sortState xmlns:xlrd2="http://schemas.microsoft.com/office/spreadsheetml/2017/richdata2" ref="A2:J181">
    <sortCondition ref="B2:B181"/>
  </sortState>
  <conditionalFormatting sqref="A2:A12 A14:A331">
    <cfRule type="duplicateValues" dxfId="19" priority="3"/>
    <cfRule type="duplicateValues" dxfId="18" priority="4"/>
  </conditionalFormatting>
  <hyperlinks>
    <hyperlink ref="B4" r:id="rId1" xr:uid="{5CCCB13C-00EC-4A41-8CB4-E7D689F51EE4}"/>
    <hyperlink ref="C5" r:id="rId2" xr:uid="{0337BA71-2D4E-451A-9141-2B889367D1CB}"/>
    <hyperlink ref="C4" r:id="rId3" xr:uid="{935384B9-E353-4D0E-8EC1-F7B901FDED9F}"/>
    <hyperlink ref="K5" r:id="rId4" xr:uid="{37DDAC6A-F6C6-475E-BBB6-6FC0908D058F}"/>
    <hyperlink ref="C7" r:id="rId5" xr:uid="{11585208-1C94-4711-923D-88A5385570EB}"/>
    <hyperlink ref="C2" r:id="rId6" xr:uid="{449F9D7F-2DCC-486B-A440-8F9863148214}"/>
    <hyperlink ref="C3" r:id="rId7" xr:uid="{E5952603-B20A-42A1-A6A3-67530D34D024}"/>
    <hyperlink ref="C8" r:id="rId8" xr:uid="{1F2BA618-6150-429D-AF03-98CFE59BF3EC}"/>
    <hyperlink ref="C6" r:id="rId9" xr:uid="{193163DE-5BF8-4151-B653-228881C22606}"/>
    <hyperlink ref="C19" r:id="rId10" xr:uid="{2F5BA35F-7125-423B-B885-9F72461CE244}"/>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A7EDA-F3AF-4A7C-BB8C-C76B4AFCF550}">
  <sheetPr>
    <tabColor rgb="FFFF0000"/>
  </sheetPr>
  <dimension ref="A1:Z963"/>
  <sheetViews>
    <sheetView workbookViewId="0">
      <pane ySplit="1" topLeftCell="A26" activePane="bottomLeft" state="frozen"/>
      <selection pane="bottomLeft" activeCell="Q2" sqref="Q2"/>
    </sheetView>
  </sheetViews>
  <sheetFormatPr defaultColWidth="31.140625" defaultRowHeight="33.75" customHeight="1"/>
  <cols>
    <col min="1" max="4" width="31.140625" style="62"/>
    <col min="5" max="5" width="15.28515625" style="62" bestFit="1" customWidth="1"/>
    <col min="6" max="8" width="31.140625" style="62"/>
    <col min="9" max="10" width="38.7109375" style="62" customWidth="1"/>
    <col min="11" max="16" width="31.140625" style="62"/>
    <col min="17" max="17" width="31.140625" style="127"/>
    <col min="18" max="16384" width="31.140625" style="62"/>
  </cols>
  <sheetData>
    <row r="1" spans="1:26" s="115" customFormat="1" ht="33.75" customHeight="1">
      <c r="A1" s="113" t="s">
        <v>1699</v>
      </c>
      <c r="B1" s="113" t="s">
        <v>1700</v>
      </c>
      <c r="C1" s="113" t="s">
        <v>1701</v>
      </c>
      <c r="D1" s="113" t="s">
        <v>1702</v>
      </c>
      <c r="E1" s="113" t="s">
        <v>1703</v>
      </c>
      <c r="F1" s="113" t="s">
        <v>1704</v>
      </c>
      <c r="G1" s="113" t="s">
        <v>1705</v>
      </c>
      <c r="H1" s="113" t="s">
        <v>1706</v>
      </c>
      <c r="I1" s="113" t="s">
        <v>1707</v>
      </c>
      <c r="J1" s="113" t="s">
        <v>1708</v>
      </c>
      <c r="K1" s="114"/>
      <c r="L1" s="114"/>
      <c r="M1" s="114"/>
      <c r="N1" s="114"/>
      <c r="O1" s="114"/>
      <c r="P1" s="114"/>
      <c r="Q1" s="124" t="s">
        <v>1709</v>
      </c>
      <c r="R1" s="114" t="s">
        <v>1710</v>
      </c>
    </row>
    <row r="2" spans="1:26" s="127" customFormat="1" ht="33.75" customHeight="1" thickBot="1">
      <c r="A2" s="126" t="s">
        <v>1711</v>
      </c>
      <c r="B2" s="126"/>
      <c r="C2" s="128">
        <v>300000</v>
      </c>
      <c r="D2" s="126"/>
      <c r="E2" s="126" t="s">
        <v>256</v>
      </c>
      <c r="F2" s="129" t="s">
        <v>1712</v>
      </c>
      <c r="G2" s="126"/>
      <c r="H2" s="126" t="s">
        <v>1713</v>
      </c>
      <c r="I2" s="130" t="s">
        <v>1714</v>
      </c>
      <c r="J2" s="131" t="s">
        <v>1715</v>
      </c>
      <c r="K2" s="125"/>
      <c r="L2" s="125"/>
      <c r="M2" s="125"/>
      <c r="N2" s="125"/>
      <c r="O2" s="125"/>
      <c r="P2" s="125"/>
      <c r="Q2" s="125" t="s">
        <v>1716</v>
      </c>
      <c r="R2" s="125" t="s">
        <v>1717</v>
      </c>
    </row>
    <row r="3" spans="1:26" s="127" customFormat="1" ht="33.75" customHeight="1" thickBot="1">
      <c r="A3" s="126" t="s">
        <v>1718</v>
      </c>
      <c r="B3" s="126"/>
      <c r="C3" s="128">
        <v>150000</v>
      </c>
      <c r="D3" s="126"/>
      <c r="E3" s="126"/>
      <c r="F3" s="126" t="s">
        <v>1719</v>
      </c>
      <c r="G3" s="126"/>
      <c r="H3" s="126" t="s">
        <v>1720</v>
      </c>
      <c r="I3" s="130" t="s">
        <v>1721</v>
      </c>
      <c r="J3" s="131" t="s">
        <v>1722</v>
      </c>
      <c r="K3" s="125"/>
      <c r="L3" s="125"/>
      <c r="M3" s="125"/>
      <c r="N3" s="125"/>
      <c r="O3" s="125"/>
      <c r="P3" s="125"/>
      <c r="Q3" s="125" t="s">
        <v>1723</v>
      </c>
      <c r="R3" s="125" t="s">
        <v>1717</v>
      </c>
    </row>
    <row r="4" spans="1:26" s="138" customFormat="1" ht="33.75" customHeight="1" thickBot="1">
      <c r="A4" s="132" t="s">
        <v>1724</v>
      </c>
      <c r="B4" s="132"/>
      <c r="C4" s="133">
        <v>150000</v>
      </c>
      <c r="D4" s="132"/>
      <c r="E4" s="132"/>
      <c r="F4" s="134" t="s">
        <v>1725</v>
      </c>
      <c r="G4" s="132"/>
      <c r="H4" s="132" t="s">
        <v>1726</v>
      </c>
      <c r="I4" s="135" t="s">
        <v>1727</v>
      </c>
      <c r="J4" s="136" t="s">
        <v>1728</v>
      </c>
      <c r="K4" s="137"/>
      <c r="L4" s="137"/>
      <c r="M4" s="137"/>
      <c r="N4" s="137"/>
      <c r="O4" s="137"/>
      <c r="P4" s="137"/>
      <c r="Q4" s="137" t="s">
        <v>1729</v>
      </c>
      <c r="R4" s="137"/>
    </row>
    <row r="5" spans="1:26" s="138" customFormat="1" ht="33.75" customHeight="1">
      <c r="A5" s="132" t="s">
        <v>1730</v>
      </c>
      <c r="B5" s="132"/>
      <c r="C5" s="136" t="s">
        <v>1731</v>
      </c>
      <c r="D5" s="132"/>
      <c r="E5" s="132"/>
      <c r="F5" s="132" t="s">
        <v>1732</v>
      </c>
      <c r="G5" s="132"/>
      <c r="H5" s="132" t="s">
        <v>1733</v>
      </c>
      <c r="I5" s="135" t="s">
        <v>1734</v>
      </c>
      <c r="J5" s="136" t="s">
        <v>1735</v>
      </c>
      <c r="K5" s="137"/>
      <c r="L5" s="137"/>
      <c r="M5" s="137"/>
      <c r="N5" s="137"/>
      <c r="O5" s="137"/>
      <c r="P5" s="137"/>
      <c r="Q5" s="137" t="s">
        <v>1736</v>
      </c>
      <c r="R5" s="137"/>
    </row>
    <row r="7" spans="1:26" ht="33.75" customHeight="1">
      <c r="A7" s="110" t="s">
        <v>1737</v>
      </c>
      <c r="B7" s="110" t="s">
        <v>1738</v>
      </c>
      <c r="C7" s="110"/>
      <c r="D7" s="110" t="s">
        <v>153</v>
      </c>
      <c r="E7" s="110" t="s">
        <v>159</v>
      </c>
      <c r="F7" s="111" t="s">
        <v>1739</v>
      </c>
      <c r="G7" s="110"/>
      <c r="H7" s="110" t="s">
        <v>1740</v>
      </c>
      <c r="I7" s="116" t="s">
        <v>1741</v>
      </c>
      <c r="J7" s="110"/>
      <c r="K7" s="110"/>
      <c r="L7" s="110" t="s">
        <v>164</v>
      </c>
      <c r="M7" s="112">
        <v>75</v>
      </c>
      <c r="N7" s="110" t="s">
        <v>1742</v>
      </c>
      <c r="O7" s="110" t="s">
        <v>1743</v>
      </c>
      <c r="P7" s="111" t="s">
        <v>1744</v>
      </c>
      <c r="Q7" s="126"/>
      <c r="R7" s="110"/>
      <c r="S7" s="110"/>
      <c r="T7" s="110"/>
      <c r="U7" s="110"/>
      <c r="V7" s="110"/>
      <c r="W7" s="110"/>
      <c r="X7" s="110"/>
      <c r="Y7" s="110"/>
      <c r="Z7" s="110"/>
    </row>
    <row r="8" spans="1:26" ht="33.75" customHeight="1" thickBot="1">
      <c r="A8" s="110" t="s">
        <v>1745</v>
      </c>
      <c r="B8" s="110" t="s">
        <v>625</v>
      </c>
      <c r="C8" s="110" t="s">
        <v>1746</v>
      </c>
      <c r="D8" s="110" t="s">
        <v>153</v>
      </c>
      <c r="E8" s="110" t="s">
        <v>159</v>
      </c>
      <c r="F8" s="111" t="s">
        <v>1747</v>
      </c>
      <c r="G8" s="110"/>
      <c r="H8" s="110" t="s">
        <v>1748</v>
      </c>
      <c r="I8" s="116" t="s">
        <v>1749</v>
      </c>
      <c r="J8" s="110"/>
      <c r="K8" s="110"/>
      <c r="L8" s="110" t="s">
        <v>164</v>
      </c>
      <c r="M8" s="112">
        <v>85</v>
      </c>
      <c r="N8" s="110" t="s">
        <v>1750</v>
      </c>
      <c r="O8" s="110" t="s">
        <v>1751</v>
      </c>
      <c r="P8" s="110" t="s">
        <v>1752</v>
      </c>
      <c r="Q8" s="126"/>
      <c r="R8" s="110"/>
      <c r="S8" s="110"/>
      <c r="T8" s="110"/>
      <c r="U8" s="110"/>
      <c r="V8" s="110"/>
      <c r="W8" s="110"/>
      <c r="X8" s="110"/>
      <c r="Y8" s="110"/>
      <c r="Z8" s="110"/>
    </row>
    <row r="9" spans="1:26" ht="33.75" customHeight="1" thickBot="1">
      <c r="A9" s="110" t="s">
        <v>835</v>
      </c>
      <c r="B9" s="110" t="s">
        <v>1753</v>
      </c>
      <c r="C9" s="110" t="s">
        <v>1754</v>
      </c>
      <c r="D9" s="110" t="s">
        <v>153</v>
      </c>
      <c r="E9" s="110" t="s">
        <v>159</v>
      </c>
      <c r="F9" s="111" t="s">
        <v>1755</v>
      </c>
      <c r="G9" s="110"/>
      <c r="H9" s="110" t="s">
        <v>1756</v>
      </c>
      <c r="I9" s="116" t="s">
        <v>1757</v>
      </c>
      <c r="J9" s="110"/>
      <c r="K9" s="110"/>
      <c r="L9" s="110" t="s">
        <v>164</v>
      </c>
      <c r="M9" s="112">
        <v>85</v>
      </c>
      <c r="N9" s="110" t="s">
        <v>1758</v>
      </c>
      <c r="O9" s="110" t="s">
        <v>1759</v>
      </c>
      <c r="P9" s="111" t="s">
        <v>1760</v>
      </c>
      <c r="Q9" s="126"/>
      <c r="R9" s="110"/>
      <c r="S9" s="110"/>
      <c r="T9" s="110"/>
      <c r="U9" s="110"/>
      <c r="V9" s="110"/>
      <c r="W9" s="110"/>
      <c r="X9" s="110"/>
      <c r="Y9" s="110"/>
      <c r="Z9" s="110"/>
    </row>
    <row r="10" spans="1:26" ht="33.75" customHeight="1" thickBot="1">
      <c r="A10" s="110" t="s">
        <v>856</v>
      </c>
      <c r="B10" s="110" t="s">
        <v>857</v>
      </c>
      <c r="C10" s="110" t="s">
        <v>1761</v>
      </c>
      <c r="D10" s="110" t="s">
        <v>153</v>
      </c>
      <c r="E10" s="110" t="s">
        <v>159</v>
      </c>
      <c r="F10" s="111" t="s">
        <v>1762</v>
      </c>
      <c r="G10" s="110"/>
      <c r="H10" s="110" t="s">
        <v>1763</v>
      </c>
      <c r="I10" s="116" t="s">
        <v>1764</v>
      </c>
      <c r="J10" s="110"/>
      <c r="K10" s="110"/>
      <c r="L10" s="110" t="s">
        <v>164</v>
      </c>
      <c r="M10" s="112">
        <v>75</v>
      </c>
      <c r="N10" s="110" t="s">
        <v>1765</v>
      </c>
      <c r="O10" s="110" t="s">
        <v>1766</v>
      </c>
      <c r="P10" s="111" t="s">
        <v>1767</v>
      </c>
      <c r="Q10" s="126"/>
      <c r="R10" s="110"/>
      <c r="S10" s="110"/>
      <c r="T10" s="110"/>
      <c r="U10" s="110"/>
      <c r="V10" s="110"/>
      <c r="W10" s="110"/>
      <c r="X10" s="110"/>
      <c r="Y10" s="110"/>
      <c r="Z10" s="110"/>
    </row>
    <row r="11" spans="1:26" ht="33.75" customHeight="1" thickBot="1">
      <c r="A11" s="110" t="s">
        <v>1768</v>
      </c>
      <c r="B11" s="110" t="s">
        <v>1769</v>
      </c>
      <c r="C11" s="110"/>
      <c r="D11" s="110"/>
      <c r="E11" s="110" t="s">
        <v>159</v>
      </c>
      <c r="F11" s="111" t="s">
        <v>1770</v>
      </c>
      <c r="G11" s="110"/>
      <c r="H11" s="110" t="s">
        <v>1771</v>
      </c>
      <c r="I11" s="116" t="s">
        <v>1772</v>
      </c>
      <c r="J11" s="110"/>
      <c r="K11" s="110"/>
      <c r="L11" s="110" t="s">
        <v>164</v>
      </c>
      <c r="M11" s="112">
        <v>82</v>
      </c>
      <c r="N11" s="110" t="s">
        <v>1773</v>
      </c>
      <c r="O11" s="110" t="s">
        <v>1774</v>
      </c>
      <c r="P11" s="111" t="s">
        <v>1775</v>
      </c>
      <c r="Q11" s="126"/>
      <c r="R11" s="110"/>
      <c r="S11" s="110"/>
      <c r="T11" s="110"/>
      <c r="U11" s="110"/>
      <c r="V11" s="110"/>
      <c r="W11" s="110"/>
      <c r="X11" s="110"/>
      <c r="Y11" s="110"/>
      <c r="Z11" s="110"/>
    </row>
    <row r="12" spans="1:26" ht="33.75" customHeight="1" thickBot="1">
      <c r="A12" s="110" t="s">
        <v>1776</v>
      </c>
      <c r="B12" s="110" t="s">
        <v>1777</v>
      </c>
      <c r="C12" s="110" t="s">
        <v>1778</v>
      </c>
      <c r="D12" s="110"/>
      <c r="E12" s="110" t="s">
        <v>159</v>
      </c>
      <c r="F12" s="111" t="s">
        <v>1779</v>
      </c>
      <c r="G12" s="110"/>
      <c r="H12" s="110" t="s">
        <v>1780</v>
      </c>
      <c r="I12" s="116" t="s">
        <v>1781</v>
      </c>
      <c r="J12" s="110"/>
      <c r="K12" s="110"/>
      <c r="L12" s="110" t="s">
        <v>164</v>
      </c>
      <c r="M12" s="112">
        <v>78</v>
      </c>
      <c r="N12" s="110" t="s">
        <v>1782</v>
      </c>
      <c r="O12" s="110" t="s">
        <v>1783</v>
      </c>
      <c r="P12" s="111" t="s">
        <v>1779</v>
      </c>
      <c r="Q12" s="126"/>
      <c r="R12" s="110"/>
      <c r="S12" s="110"/>
      <c r="T12" s="110"/>
      <c r="U12" s="110"/>
      <c r="V12" s="110"/>
      <c r="W12" s="110"/>
      <c r="X12" s="110"/>
      <c r="Y12" s="110"/>
      <c r="Z12" s="110"/>
    </row>
    <row r="13" spans="1:26" ht="33.75" customHeight="1" thickBot="1">
      <c r="A13" s="110" t="s">
        <v>1784</v>
      </c>
      <c r="B13" s="110" t="s">
        <v>1785</v>
      </c>
      <c r="C13" s="110" t="s">
        <v>1786</v>
      </c>
      <c r="D13" s="110"/>
      <c r="E13" s="110" t="s">
        <v>159</v>
      </c>
      <c r="F13" s="111" t="s">
        <v>1787</v>
      </c>
      <c r="G13" s="110"/>
      <c r="H13" s="110" t="s">
        <v>1788</v>
      </c>
      <c r="I13" s="116" t="s">
        <v>1789</v>
      </c>
      <c r="J13" s="110"/>
      <c r="K13" s="110"/>
      <c r="L13" s="110" t="s">
        <v>164</v>
      </c>
      <c r="M13" s="112">
        <v>75</v>
      </c>
      <c r="N13" s="110" t="s">
        <v>1790</v>
      </c>
      <c r="O13" s="110" t="s">
        <v>1791</v>
      </c>
      <c r="P13" s="110" t="s">
        <v>1752</v>
      </c>
      <c r="Q13" s="126"/>
      <c r="R13" s="110"/>
      <c r="S13" s="110"/>
      <c r="T13" s="110"/>
      <c r="U13" s="110"/>
      <c r="V13" s="110"/>
      <c r="W13" s="110"/>
      <c r="X13" s="110"/>
      <c r="Y13" s="110"/>
      <c r="Z13" s="110"/>
    </row>
    <row r="14" spans="1:26" ht="33.75" customHeight="1" thickBot="1">
      <c r="A14" s="110" t="s">
        <v>1792</v>
      </c>
      <c r="B14" s="110" t="s">
        <v>1793</v>
      </c>
      <c r="C14" s="110" t="s">
        <v>1794</v>
      </c>
      <c r="D14" s="110"/>
      <c r="E14" s="110" t="s">
        <v>159</v>
      </c>
      <c r="F14" s="111" t="s">
        <v>1795</v>
      </c>
      <c r="G14" s="110"/>
      <c r="H14" s="110" t="s">
        <v>1796</v>
      </c>
      <c r="I14" s="116" t="s">
        <v>1797</v>
      </c>
      <c r="J14" s="110"/>
      <c r="K14" s="110"/>
      <c r="L14" s="110" t="s">
        <v>164</v>
      </c>
      <c r="M14" s="112">
        <v>82</v>
      </c>
      <c r="N14" s="110" t="s">
        <v>1798</v>
      </c>
      <c r="O14" s="110" t="s">
        <v>1799</v>
      </c>
      <c r="P14" s="111" t="s">
        <v>1800</v>
      </c>
      <c r="Q14" s="126"/>
      <c r="R14" s="110"/>
      <c r="S14" s="110"/>
      <c r="T14" s="110"/>
      <c r="U14" s="110"/>
      <c r="V14" s="110"/>
      <c r="W14" s="110"/>
      <c r="X14" s="110"/>
      <c r="Y14" s="110"/>
      <c r="Z14" s="110"/>
    </row>
    <row r="15" spans="1:26" ht="33.75" customHeight="1" thickBot="1">
      <c r="A15" s="110" t="s">
        <v>1801</v>
      </c>
      <c r="B15" s="110" t="s">
        <v>1802</v>
      </c>
      <c r="C15" s="110" t="s">
        <v>1803</v>
      </c>
      <c r="D15" s="110"/>
      <c r="E15" s="110" t="s">
        <v>159</v>
      </c>
      <c r="F15" s="111" t="s">
        <v>1804</v>
      </c>
      <c r="G15" s="110"/>
      <c r="H15" s="110" t="s">
        <v>1805</v>
      </c>
      <c r="I15" s="116" t="s">
        <v>1806</v>
      </c>
      <c r="J15" s="110"/>
      <c r="K15" s="110"/>
      <c r="L15" s="110" t="s">
        <v>164</v>
      </c>
      <c r="M15" s="112">
        <v>72</v>
      </c>
      <c r="N15" s="110" t="s">
        <v>1807</v>
      </c>
      <c r="O15" s="110" t="s">
        <v>1808</v>
      </c>
      <c r="P15" s="111" t="s">
        <v>1809</v>
      </c>
      <c r="Q15" s="126"/>
      <c r="R15" s="110"/>
      <c r="S15" s="110"/>
      <c r="T15" s="110"/>
      <c r="U15" s="110"/>
      <c r="V15" s="110"/>
      <c r="W15" s="110"/>
      <c r="X15" s="110"/>
      <c r="Y15" s="110"/>
      <c r="Z15" s="110"/>
    </row>
    <row r="16" spans="1:26" ht="33.75" customHeight="1" thickBot="1">
      <c r="A16" s="110" t="s">
        <v>1810</v>
      </c>
      <c r="B16" s="110" t="s">
        <v>1811</v>
      </c>
      <c r="C16" s="110"/>
      <c r="D16" s="110" t="s">
        <v>153</v>
      </c>
      <c r="E16" s="110" t="s">
        <v>159</v>
      </c>
      <c r="F16" s="111" t="s">
        <v>1812</v>
      </c>
      <c r="G16" s="110"/>
      <c r="H16" s="110" t="s">
        <v>1813</v>
      </c>
      <c r="I16" s="116" t="s">
        <v>1814</v>
      </c>
      <c r="J16" s="110"/>
      <c r="K16" s="110"/>
      <c r="L16" s="110" t="s">
        <v>164</v>
      </c>
      <c r="M16" s="112">
        <v>75</v>
      </c>
      <c r="N16" s="110" t="s">
        <v>1815</v>
      </c>
      <c r="O16" s="110" t="s">
        <v>1816</v>
      </c>
      <c r="P16" s="111" t="s">
        <v>1817</v>
      </c>
      <c r="Q16" s="126"/>
      <c r="R16" s="110"/>
      <c r="S16" s="110"/>
      <c r="T16" s="110"/>
      <c r="U16" s="110"/>
      <c r="V16" s="110"/>
      <c r="W16" s="110"/>
      <c r="X16" s="110"/>
      <c r="Y16" s="110"/>
      <c r="Z16" s="110"/>
    </row>
    <row r="17" spans="1:26" ht="33.75" customHeight="1" thickBot="1">
      <c r="A17" s="110" t="s">
        <v>1818</v>
      </c>
      <c r="B17" s="110" t="s">
        <v>1819</v>
      </c>
      <c r="C17" s="110" t="s">
        <v>1820</v>
      </c>
      <c r="D17" s="110" t="s">
        <v>1821</v>
      </c>
      <c r="E17" s="110" t="s">
        <v>159</v>
      </c>
      <c r="F17" s="111" t="s">
        <v>1822</v>
      </c>
      <c r="G17" s="110"/>
      <c r="H17" s="110" t="s">
        <v>1823</v>
      </c>
      <c r="I17" s="116" t="s">
        <v>1824</v>
      </c>
      <c r="J17" s="110"/>
      <c r="K17" s="110"/>
      <c r="L17" s="110" t="s">
        <v>164</v>
      </c>
      <c r="M17" s="112">
        <v>82</v>
      </c>
      <c r="N17" s="110" t="s">
        <v>1825</v>
      </c>
      <c r="O17" s="110" t="s">
        <v>1826</v>
      </c>
      <c r="P17" s="111" t="s">
        <v>1827</v>
      </c>
      <c r="Q17" s="126"/>
      <c r="R17" s="110"/>
      <c r="S17" s="110"/>
      <c r="T17" s="110"/>
      <c r="U17" s="110"/>
      <c r="V17" s="110"/>
      <c r="W17" s="110"/>
      <c r="X17" s="110"/>
      <c r="Y17" s="110"/>
      <c r="Z17" s="110"/>
    </row>
    <row r="18" spans="1:26" ht="33.75" customHeight="1" thickBot="1">
      <c r="A18" s="110" t="s">
        <v>1828</v>
      </c>
      <c r="B18" s="110" t="s">
        <v>1829</v>
      </c>
      <c r="C18" s="110" t="s">
        <v>1830</v>
      </c>
      <c r="D18" s="110"/>
      <c r="E18" s="110" t="s">
        <v>159</v>
      </c>
      <c r="F18" s="111" t="s">
        <v>1831</v>
      </c>
      <c r="G18" s="110"/>
      <c r="H18" s="110" t="s">
        <v>1832</v>
      </c>
      <c r="I18" s="116" t="s">
        <v>1833</v>
      </c>
      <c r="J18" s="110"/>
      <c r="K18" s="110"/>
      <c r="L18" s="110" t="s">
        <v>164</v>
      </c>
      <c r="M18" s="112">
        <v>72</v>
      </c>
      <c r="N18" s="110" t="s">
        <v>1834</v>
      </c>
      <c r="O18" s="110" t="s">
        <v>1835</v>
      </c>
      <c r="P18" s="111" t="s">
        <v>1836</v>
      </c>
      <c r="Q18" s="126"/>
      <c r="R18" s="110"/>
      <c r="S18" s="110"/>
      <c r="T18" s="110"/>
      <c r="U18" s="110"/>
      <c r="V18" s="110"/>
      <c r="W18" s="110"/>
      <c r="X18" s="110"/>
      <c r="Y18" s="110"/>
      <c r="Z18" s="110"/>
    </row>
    <row r="19" spans="1:26" ht="33.75" customHeight="1" thickBot="1">
      <c r="A19" s="110" t="s">
        <v>1837</v>
      </c>
      <c r="B19" s="110" t="s">
        <v>1838</v>
      </c>
      <c r="C19" s="110"/>
      <c r="D19" s="110"/>
      <c r="E19" s="110" t="s">
        <v>159</v>
      </c>
      <c r="F19" s="111" t="s">
        <v>1839</v>
      </c>
      <c r="G19" s="110"/>
      <c r="H19" s="110" t="s">
        <v>1840</v>
      </c>
      <c r="I19" s="116" t="s">
        <v>1841</v>
      </c>
      <c r="J19" s="110"/>
      <c r="K19" s="110"/>
      <c r="L19" s="110" t="s">
        <v>164</v>
      </c>
      <c r="M19" s="112">
        <v>75</v>
      </c>
      <c r="N19" s="110" t="s">
        <v>1842</v>
      </c>
      <c r="O19" s="110" t="s">
        <v>1843</v>
      </c>
      <c r="P19" s="111" t="s">
        <v>1839</v>
      </c>
      <c r="Q19" s="126"/>
      <c r="R19" s="110"/>
      <c r="S19" s="110"/>
      <c r="T19" s="110"/>
      <c r="U19" s="110"/>
      <c r="V19" s="110"/>
      <c r="W19" s="110"/>
      <c r="X19" s="110"/>
      <c r="Y19" s="110"/>
      <c r="Z19" s="110"/>
    </row>
    <row r="20" spans="1:26" ht="33.75" customHeight="1" thickBot="1">
      <c r="A20" s="110" t="s">
        <v>1844</v>
      </c>
      <c r="B20" s="110" t="s">
        <v>1845</v>
      </c>
      <c r="C20" s="110" t="s">
        <v>1846</v>
      </c>
      <c r="D20" s="110"/>
      <c r="E20" s="110" t="s">
        <v>159</v>
      </c>
      <c r="F20" s="111" t="s">
        <v>1847</v>
      </c>
      <c r="G20" s="110"/>
      <c r="H20" s="110" t="s">
        <v>1848</v>
      </c>
      <c r="I20" s="116" t="s">
        <v>1849</v>
      </c>
      <c r="J20" s="110"/>
      <c r="K20" s="110"/>
      <c r="L20" s="110" t="s">
        <v>164</v>
      </c>
      <c r="M20" s="112">
        <v>82</v>
      </c>
      <c r="N20" s="110" t="s">
        <v>1850</v>
      </c>
      <c r="O20" s="110" t="s">
        <v>1851</v>
      </c>
      <c r="P20" s="111" t="s">
        <v>1852</v>
      </c>
      <c r="Q20" s="126"/>
      <c r="R20" s="110"/>
      <c r="S20" s="110"/>
      <c r="T20" s="110"/>
      <c r="U20" s="110"/>
      <c r="V20" s="110"/>
      <c r="W20" s="110"/>
      <c r="X20" s="110"/>
      <c r="Y20" s="110"/>
      <c r="Z20" s="110"/>
    </row>
    <row r="21" spans="1:26" ht="33.75" customHeight="1" thickBot="1">
      <c r="A21" s="110" t="s">
        <v>1853</v>
      </c>
      <c r="B21" s="110" t="s">
        <v>1854</v>
      </c>
      <c r="C21" s="110" t="s">
        <v>1855</v>
      </c>
      <c r="D21" s="110" t="s">
        <v>153</v>
      </c>
      <c r="E21" s="110" t="s">
        <v>159</v>
      </c>
      <c r="F21" s="111" t="s">
        <v>1856</v>
      </c>
      <c r="G21" s="110"/>
      <c r="H21" s="110" t="s">
        <v>1857</v>
      </c>
      <c r="I21" s="116" t="s">
        <v>1858</v>
      </c>
      <c r="J21" s="110"/>
      <c r="K21" s="110"/>
      <c r="L21" s="110" t="s">
        <v>164</v>
      </c>
      <c r="M21" s="112">
        <v>85</v>
      </c>
      <c r="N21" s="110" t="s">
        <v>1859</v>
      </c>
      <c r="O21" s="110" t="s">
        <v>1860</v>
      </c>
      <c r="P21" s="111" t="s">
        <v>1827</v>
      </c>
      <c r="Q21" s="126"/>
      <c r="R21" s="110"/>
      <c r="S21" s="110"/>
      <c r="T21" s="110"/>
      <c r="U21" s="110"/>
      <c r="V21" s="110"/>
      <c r="W21" s="110"/>
      <c r="X21" s="110"/>
      <c r="Y21" s="110"/>
      <c r="Z21" s="110"/>
    </row>
    <row r="22" spans="1:26" ht="33.75" customHeight="1" thickBot="1">
      <c r="A22" s="110" t="s">
        <v>1861</v>
      </c>
      <c r="B22" s="110" t="s">
        <v>1862</v>
      </c>
      <c r="C22" s="110"/>
      <c r="D22" s="110" t="s">
        <v>153</v>
      </c>
      <c r="E22" s="110" t="s">
        <v>159</v>
      </c>
      <c r="F22" s="111" t="s">
        <v>1863</v>
      </c>
      <c r="G22" s="110"/>
      <c r="H22" s="110" t="s">
        <v>1864</v>
      </c>
      <c r="I22" s="116" t="s">
        <v>1865</v>
      </c>
      <c r="J22" s="110"/>
      <c r="K22" s="110"/>
      <c r="L22" s="110" t="s">
        <v>164</v>
      </c>
      <c r="M22" s="112">
        <v>75</v>
      </c>
      <c r="N22" s="110" t="s">
        <v>1866</v>
      </c>
      <c r="O22" s="110" t="s">
        <v>1867</v>
      </c>
      <c r="P22" s="111" t="s">
        <v>1868</v>
      </c>
      <c r="Q22" s="126"/>
      <c r="R22" s="110"/>
      <c r="S22" s="110"/>
      <c r="T22" s="110"/>
      <c r="U22" s="110"/>
      <c r="V22" s="110"/>
      <c r="W22" s="110"/>
      <c r="X22" s="110"/>
      <c r="Y22" s="110"/>
      <c r="Z22" s="110"/>
    </row>
    <row r="23" spans="1:26" ht="33.75" customHeight="1" thickBot="1">
      <c r="A23" s="110" t="s">
        <v>1869</v>
      </c>
      <c r="B23" s="110" t="s">
        <v>1870</v>
      </c>
      <c r="C23" s="110"/>
      <c r="D23" s="110" t="s">
        <v>153</v>
      </c>
      <c r="E23" s="110" t="s">
        <v>159</v>
      </c>
      <c r="F23" s="111" t="s">
        <v>1871</v>
      </c>
      <c r="G23" s="110"/>
      <c r="H23" s="110" t="s">
        <v>1872</v>
      </c>
      <c r="I23" s="116" t="s">
        <v>1873</v>
      </c>
      <c r="J23" s="110"/>
      <c r="K23" s="110"/>
      <c r="L23" s="110" t="s">
        <v>164</v>
      </c>
      <c r="M23" s="112">
        <v>72</v>
      </c>
      <c r="N23" s="110" t="s">
        <v>1874</v>
      </c>
      <c r="O23" s="110" t="s">
        <v>1875</v>
      </c>
      <c r="P23" s="111" t="s">
        <v>1876</v>
      </c>
      <c r="Q23" s="126"/>
      <c r="R23" s="110"/>
      <c r="S23" s="110"/>
      <c r="T23" s="110"/>
      <c r="U23" s="110"/>
      <c r="V23" s="110"/>
      <c r="W23" s="110"/>
      <c r="X23" s="110"/>
      <c r="Y23" s="110"/>
      <c r="Z23" s="110"/>
    </row>
    <row r="24" spans="1:26" ht="33.75" customHeight="1" thickBot="1">
      <c r="A24" s="110" t="s">
        <v>1877</v>
      </c>
      <c r="B24" s="110" t="s">
        <v>1878</v>
      </c>
      <c r="C24" s="110"/>
      <c r="D24" s="110" t="s">
        <v>153</v>
      </c>
      <c r="E24" s="110" t="s">
        <v>159</v>
      </c>
      <c r="F24" s="111" t="s">
        <v>1879</v>
      </c>
      <c r="G24" s="110"/>
      <c r="H24" s="110" t="s">
        <v>1880</v>
      </c>
      <c r="I24" s="116" t="s">
        <v>1881</v>
      </c>
      <c r="J24" s="110"/>
      <c r="K24" s="110"/>
      <c r="L24" s="110" t="s">
        <v>164</v>
      </c>
      <c r="M24" s="112">
        <v>72</v>
      </c>
      <c r="N24" s="110" t="s">
        <v>1882</v>
      </c>
      <c r="O24" s="110" t="s">
        <v>1883</v>
      </c>
      <c r="P24" s="111" t="s">
        <v>1884</v>
      </c>
      <c r="Q24" s="126"/>
      <c r="R24" s="110"/>
      <c r="S24" s="110"/>
      <c r="T24" s="110"/>
      <c r="U24" s="110"/>
      <c r="V24" s="110"/>
      <c r="W24" s="110"/>
      <c r="X24" s="110"/>
      <c r="Y24" s="110"/>
      <c r="Z24" s="110"/>
    </row>
    <row r="25" spans="1:26" ht="33.75" customHeight="1" thickBot="1">
      <c r="A25" s="110" t="s">
        <v>1885</v>
      </c>
      <c r="B25" s="110" t="s">
        <v>1886</v>
      </c>
      <c r="C25" s="110" t="s">
        <v>1887</v>
      </c>
      <c r="D25" s="110" t="s">
        <v>153</v>
      </c>
      <c r="E25" s="110" t="s">
        <v>159</v>
      </c>
      <c r="F25" s="111" t="s">
        <v>1888</v>
      </c>
      <c r="G25" s="110"/>
      <c r="H25" s="110" t="s">
        <v>1889</v>
      </c>
      <c r="I25" s="116" t="s">
        <v>1890</v>
      </c>
      <c r="J25" s="110"/>
      <c r="K25" s="110"/>
      <c r="L25" s="110" t="s">
        <v>164</v>
      </c>
      <c r="M25" s="112">
        <v>78</v>
      </c>
      <c r="N25" s="110" t="s">
        <v>1891</v>
      </c>
      <c r="O25" s="110" t="s">
        <v>1892</v>
      </c>
      <c r="P25" s="111" t="s">
        <v>1893</v>
      </c>
      <c r="Q25" s="126"/>
      <c r="R25" s="110"/>
      <c r="S25" s="110"/>
      <c r="T25" s="110"/>
      <c r="U25" s="110"/>
      <c r="V25" s="110"/>
      <c r="W25" s="110"/>
      <c r="X25" s="110"/>
      <c r="Y25" s="110"/>
      <c r="Z25" s="110"/>
    </row>
    <row r="26" spans="1:26" ht="33.75" customHeight="1" thickBot="1">
      <c r="A26" s="110" t="s">
        <v>1894</v>
      </c>
      <c r="B26" s="110" t="s">
        <v>1895</v>
      </c>
      <c r="C26" s="110" t="s">
        <v>1896</v>
      </c>
      <c r="D26" s="110" t="s">
        <v>153</v>
      </c>
      <c r="E26" s="110" t="s">
        <v>159</v>
      </c>
      <c r="F26" s="111" t="s">
        <v>1897</v>
      </c>
      <c r="G26" s="110"/>
      <c r="H26" s="110" t="s">
        <v>1898</v>
      </c>
      <c r="I26" s="116" t="s">
        <v>1899</v>
      </c>
      <c r="J26" s="110"/>
      <c r="K26" s="110"/>
      <c r="L26" s="110" t="s">
        <v>164</v>
      </c>
      <c r="M26" s="112">
        <v>70</v>
      </c>
      <c r="N26" s="110" t="s">
        <v>1900</v>
      </c>
      <c r="O26" s="110" t="s">
        <v>1901</v>
      </c>
      <c r="P26" s="111" t="s">
        <v>1902</v>
      </c>
      <c r="Q26" s="126"/>
      <c r="R26" s="110"/>
      <c r="S26" s="110"/>
      <c r="T26" s="110"/>
      <c r="U26" s="110"/>
      <c r="V26" s="110"/>
      <c r="W26" s="110"/>
      <c r="X26" s="110"/>
      <c r="Y26" s="110"/>
      <c r="Z26" s="110"/>
    </row>
    <row r="27" spans="1:26" ht="33.75" customHeight="1" thickBot="1">
      <c r="A27" s="110" t="s">
        <v>1903</v>
      </c>
      <c r="B27" s="110" t="s">
        <v>1904</v>
      </c>
      <c r="C27" s="110"/>
      <c r="D27" s="110" t="s">
        <v>153</v>
      </c>
      <c r="E27" s="110" t="s">
        <v>159</v>
      </c>
      <c r="F27" s="111" t="s">
        <v>1905</v>
      </c>
      <c r="G27" s="110"/>
      <c r="H27" s="110" t="s">
        <v>1906</v>
      </c>
      <c r="I27" s="116" t="s">
        <v>1907</v>
      </c>
      <c r="J27" s="110"/>
      <c r="K27" s="110"/>
      <c r="L27" s="110" t="s">
        <v>164</v>
      </c>
      <c r="M27" s="112">
        <v>82</v>
      </c>
      <c r="N27" s="110" t="s">
        <v>1908</v>
      </c>
      <c r="O27" s="110" t="s">
        <v>1909</v>
      </c>
      <c r="P27" s="111" t="s">
        <v>1910</v>
      </c>
      <c r="Q27" s="126"/>
      <c r="R27" s="110"/>
      <c r="S27" s="110"/>
      <c r="T27" s="110"/>
      <c r="U27" s="110"/>
      <c r="V27" s="110"/>
      <c r="W27" s="110"/>
      <c r="X27" s="110"/>
      <c r="Y27" s="110"/>
      <c r="Z27" s="110"/>
    </row>
    <row r="28" spans="1:26" ht="33.75" customHeight="1" thickBot="1">
      <c r="A28" s="110" t="s">
        <v>1911</v>
      </c>
      <c r="B28" s="110" t="s">
        <v>1912</v>
      </c>
      <c r="C28" s="110" t="s">
        <v>1913</v>
      </c>
      <c r="D28" s="110"/>
      <c r="E28" s="110" t="s">
        <v>159</v>
      </c>
      <c r="F28" s="111" t="s">
        <v>1914</v>
      </c>
      <c r="G28" s="110"/>
      <c r="H28" s="110" t="s">
        <v>1915</v>
      </c>
      <c r="I28" s="116" t="s">
        <v>1916</v>
      </c>
      <c r="J28" s="110"/>
      <c r="K28" s="110"/>
      <c r="L28" s="110" t="s">
        <v>164</v>
      </c>
      <c r="M28" s="112">
        <v>82</v>
      </c>
      <c r="N28" s="110" t="s">
        <v>1917</v>
      </c>
      <c r="O28" s="110" t="s">
        <v>1918</v>
      </c>
      <c r="P28" s="111" t="s">
        <v>1919</v>
      </c>
      <c r="Q28" s="126"/>
      <c r="R28" s="110"/>
      <c r="S28" s="110"/>
      <c r="T28" s="110"/>
      <c r="U28" s="110"/>
      <c r="V28" s="110"/>
      <c r="W28" s="110"/>
      <c r="X28" s="110"/>
      <c r="Y28" s="110"/>
      <c r="Z28" s="110"/>
    </row>
    <row r="29" spans="1:26" ht="33.75" customHeight="1" thickBot="1">
      <c r="A29" s="110" t="s">
        <v>1920</v>
      </c>
      <c r="B29" s="110" t="s">
        <v>1921</v>
      </c>
      <c r="C29" s="110" t="s">
        <v>1922</v>
      </c>
      <c r="D29" s="110"/>
      <c r="E29" s="110" t="s">
        <v>159</v>
      </c>
      <c r="F29" s="111" t="s">
        <v>1923</v>
      </c>
      <c r="G29" s="110"/>
      <c r="H29" s="110" t="s">
        <v>1924</v>
      </c>
      <c r="I29" s="116" t="s">
        <v>1925</v>
      </c>
      <c r="J29" s="110"/>
      <c r="K29" s="110"/>
      <c r="L29" s="110" t="s">
        <v>164</v>
      </c>
      <c r="M29" s="112">
        <v>75</v>
      </c>
      <c r="N29" s="110" t="s">
        <v>1926</v>
      </c>
      <c r="O29" s="110" t="s">
        <v>1927</v>
      </c>
      <c r="P29" s="111" t="s">
        <v>1923</v>
      </c>
      <c r="Q29" s="126"/>
      <c r="R29" s="110"/>
      <c r="S29" s="110"/>
      <c r="T29" s="110"/>
      <c r="U29" s="110"/>
      <c r="V29" s="110"/>
      <c r="W29" s="110"/>
      <c r="X29" s="110"/>
      <c r="Y29" s="110"/>
      <c r="Z29" s="110"/>
    </row>
    <row r="30" spans="1:26" ht="33.75" customHeight="1" thickBot="1">
      <c r="A30" s="110" t="s">
        <v>1928</v>
      </c>
      <c r="B30" s="111" t="s">
        <v>1929</v>
      </c>
      <c r="C30" s="110"/>
      <c r="D30" s="110"/>
      <c r="E30" s="110" t="s">
        <v>159</v>
      </c>
      <c r="F30" s="111" t="s">
        <v>1930</v>
      </c>
      <c r="G30" s="110"/>
      <c r="H30" s="110" t="s">
        <v>1931</v>
      </c>
      <c r="I30" s="116" t="s">
        <v>1932</v>
      </c>
      <c r="J30" s="110"/>
      <c r="K30" s="110"/>
      <c r="L30" s="110" t="s">
        <v>164</v>
      </c>
      <c r="M30" s="112">
        <v>78</v>
      </c>
      <c r="N30" s="110" t="s">
        <v>1933</v>
      </c>
      <c r="O30" s="110" t="s">
        <v>1934</v>
      </c>
      <c r="P30" s="111" t="s">
        <v>1935</v>
      </c>
      <c r="Q30" s="126"/>
      <c r="R30" s="110"/>
      <c r="S30" s="110"/>
      <c r="T30" s="110"/>
      <c r="U30" s="110"/>
      <c r="V30" s="110"/>
      <c r="W30" s="110"/>
      <c r="X30" s="110"/>
      <c r="Y30" s="110"/>
      <c r="Z30" s="110"/>
    </row>
    <row r="31" spans="1:26" ht="33.75" customHeight="1" thickBot="1">
      <c r="A31" s="110" t="s">
        <v>1936</v>
      </c>
      <c r="B31" s="110" t="s">
        <v>1937</v>
      </c>
      <c r="C31" s="111" t="s">
        <v>1938</v>
      </c>
      <c r="D31" s="110"/>
      <c r="E31" s="110" t="s">
        <v>159</v>
      </c>
      <c r="F31" s="111" t="s">
        <v>1939</v>
      </c>
      <c r="G31" s="110"/>
      <c r="H31" s="110" t="s">
        <v>1940</v>
      </c>
      <c r="I31" s="116" t="s">
        <v>1941</v>
      </c>
      <c r="J31" s="110"/>
      <c r="K31" s="110"/>
      <c r="L31" s="110" t="s">
        <v>164</v>
      </c>
      <c r="M31" s="112">
        <v>75</v>
      </c>
      <c r="N31" s="110" t="s">
        <v>1942</v>
      </c>
      <c r="O31" s="110" t="s">
        <v>1943</v>
      </c>
      <c r="P31" s="111" t="s">
        <v>1744</v>
      </c>
      <c r="Q31" s="126"/>
      <c r="R31" s="110"/>
      <c r="S31" s="110"/>
      <c r="T31" s="110"/>
      <c r="U31" s="110"/>
      <c r="V31" s="110"/>
      <c r="W31" s="110"/>
      <c r="X31" s="110"/>
      <c r="Y31" s="110"/>
      <c r="Z31" s="110"/>
    </row>
    <row r="32" spans="1:26" ht="33.75" customHeight="1" thickBot="1">
      <c r="A32" s="110" t="s">
        <v>1944</v>
      </c>
      <c r="B32" s="110" t="s">
        <v>1945</v>
      </c>
      <c r="C32" s="110" t="s">
        <v>1946</v>
      </c>
      <c r="D32" s="110"/>
      <c r="E32" s="110" t="s">
        <v>159</v>
      </c>
      <c r="F32" s="111" t="s">
        <v>1762</v>
      </c>
      <c r="G32" s="110"/>
      <c r="H32" s="110" t="s">
        <v>1947</v>
      </c>
      <c r="I32" s="116" t="s">
        <v>1948</v>
      </c>
      <c r="J32" s="110"/>
      <c r="K32" s="110"/>
      <c r="L32" s="110" t="s">
        <v>164</v>
      </c>
      <c r="M32" s="112">
        <v>72</v>
      </c>
      <c r="N32" s="110" t="s">
        <v>1949</v>
      </c>
      <c r="O32" s="110" t="s">
        <v>1950</v>
      </c>
      <c r="P32" s="111" t="s">
        <v>1951</v>
      </c>
      <c r="Q32" s="126"/>
      <c r="R32" s="110"/>
      <c r="S32" s="110"/>
      <c r="T32" s="110"/>
      <c r="U32" s="110"/>
      <c r="V32" s="110"/>
      <c r="W32" s="110"/>
      <c r="X32" s="110"/>
      <c r="Y32" s="110"/>
      <c r="Z32" s="110"/>
    </row>
    <row r="33" spans="1:26" ht="33.75" customHeight="1" thickBot="1">
      <c r="A33" s="110" t="s">
        <v>1952</v>
      </c>
      <c r="B33" s="110" t="s">
        <v>1953</v>
      </c>
      <c r="C33" s="110" t="s">
        <v>1731</v>
      </c>
      <c r="D33" s="110"/>
      <c r="E33" s="110" t="s">
        <v>159</v>
      </c>
      <c r="F33" s="111" t="s">
        <v>1954</v>
      </c>
      <c r="G33" s="110"/>
      <c r="H33" s="110" t="s">
        <v>1955</v>
      </c>
      <c r="I33" s="116" t="s">
        <v>1956</v>
      </c>
      <c r="J33" s="110"/>
      <c r="K33" s="110"/>
      <c r="L33" s="110" t="s">
        <v>164</v>
      </c>
      <c r="M33" s="112">
        <v>72</v>
      </c>
      <c r="N33" s="110" t="s">
        <v>1957</v>
      </c>
      <c r="O33" s="110" t="s">
        <v>1958</v>
      </c>
      <c r="P33" s="111" t="s">
        <v>1959</v>
      </c>
      <c r="Q33" s="126"/>
      <c r="R33" s="110"/>
      <c r="S33" s="110"/>
      <c r="T33" s="110"/>
      <c r="U33" s="110"/>
      <c r="V33" s="110"/>
      <c r="W33" s="110"/>
      <c r="X33" s="110"/>
      <c r="Y33" s="110"/>
      <c r="Z33" s="110"/>
    </row>
    <row r="34" spans="1:26" ht="33.75" customHeight="1" thickBot="1">
      <c r="A34" s="110" t="s">
        <v>1960</v>
      </c>
      <c r="B34" s="110" t="s">
        <v>1961</v>
      </c>
      <c r="C34" s="110" t="s">
        <v>1962</v>
      </c>
      <c r="D34" s="110"/>
      <c r="E34" s="110" t="s">
        <v>159</v>
      </c>
      <c r="F34" s="111" t="s">
        <v>1963</v>
      </c>
      <c r="G34" s="110"/>
      <c r="H34" s="110" t="s">
        <v>1964</v>
      </c>
      <c r="I34" s="116" t="s">
        <v>1965</v>
      </c>
      <c r="J34" s="110"/>
      <c r="K34" s="110"/>
      <c r="L34" s="110" t="s">
        <v>164</v>
      </c>
      <c r="M34" s="112">
        <v>85</v>
      </c>
      <c r="N34" s="110" t="s">
        <v>1966</v>
      </c>
      <c r="O34" s="110" t="s">
        <v>1967</v>
      </c>
      <c r="P34" s="111" t="s">
        <v>1968</v>
      </c>
      <c r="Q34" s="126"/>
      <c r="R34" s="110"/>
      <c r="S34" s="110"/>
      <c r="T34" s="110"/>
      <c r="U34" s="110"/>
      <c r="V34" s="110"/>
      <c r="W34" s="110"/>
      <c r="X34" s="110"/>
      <c r="Y34" s="110"/>
      <c r="Z34" s="110"/>
    </row>
    <row r="35" spans="1:26" ht="33.75" customHeight="1" thickBot="1">
      <c r="A35" s="110" t="s">
        <v>1969</v>
      </c>
      <c r="B35" s="110" t="s">
        <v>1970</v>
      </c>
      <c r="C35" s="110"/>
      <c r="D35" s="110" t="s">
        <v>153</v>
      </c>
      <c r="E35" s="110" t="s">
        <v>159</v>
      </c>
      <c r="F35" s="111" t="s">
        <v>1971</v>
      </c>
      <c r="G35" s="110"/>
      <c r="H35" s="110" t="s">
        <v>1972</v>
      </c>
      <c r="I35" s="116" t="s">
        <v>1973</v>
      </c>
      <c r="J35" s="110"/>
      <c r="K35" s="110"/>
      <c r="L35" s="110" t="s">
        <v>164</v>
      </c>
      <c r="M35" s="112">
        <v>70</v>
      </c>
      <c r="N35" s="110" t="s">
        <v>1974</v>
      </c>
      <c r="O35" s="110" t="s">
        <v>1975</v>
      </c>
      <c r="P35" s="111" t="s">
        <v>1976</v>
      </c>
      <c r="Q35" s="126"/>
      <c r="R35" s="110"/>
      <c r="S35" s="110"/>
      <c r="T35" s="110"/>
      <c r="U35" s="110"/>
      <c r="V35" s="110"/>
      <c r="W35" s="110"/>
      <c r="X35" s="110"/>
      <c r="Y35" s="110"/>
      <c r="Z35" s="110"/>
    </row>
    <row r="36" spans="1:26" ht="33.75" customHeight="1">
      <c r="A36" s="110" t="s">
        <v>1977</v>
      </c>
      <c r="B36" s="110" t="s">
        <v>1978</v>
      </c>
      <c r="C36" s="110" t="s">
        <v>1979</v>
      </c>
      <c r="D36" s="110" t="s">
        <v>153</v>
      </c>
      <c r="E36" s="110" t="s">
        <v>159</v>
      </c>
      <c r="F36" s="111" t="s">
        <v>1762</v>
      </c>
      <c r="G36" s="110"/>
      <c r="H36" s="110" t="s">
        <v>1980</v>
      </c>
      <c r="I36" s="116" t="s">
        <v>1981</v>
      </c>
      <c r="J36" s="110"/>
      <c r="K36" s="110"/>
      <c r="L36" s="110" t="s">
        <v>164</v>
      </c>
      <c r="M36" s="112">
        <v>82</v>
      </c>
      <c r="N36" s="110" t="s">
        <v>1982</v>
      </c>
      <c r="O36" s="110" t="s">
        <v>1983</v>
      </c>
      <c r="P36" s="111" t="s">
        <v>1984</v>
      </c>
      <c r="Q36" s="126"/>
      <c r="R36" s="110"/>
      <c r="S36" s="110"/>
      <c r="T36" s="110"/>
      <c r="U36" s="110"/>
      <c r="V36" s="110"/>
      <c r="W36" s="110"/>
      <c r="X36" s="110"/>
      <c r="Y36" s="110"/>
      <c r="Z36" s="110"/>
    </row>
    <row r="38" spans="1:26" s="127" customFormat="1" ht="33.75" customHeight="1"/>
    <row r="39" spans="1:26" ht="33.75" customHeight="1">
      <c r="A39" s="68"/>
      <c r="B39" s="68"/>
      <c r="C39" s="68"/>
      <c r="D39" s="68"/>
      <c r="E39" s="68"/>
      <c r="F39" s="68"/>
      <c r="G39" s="68"/>
      <c r="H39" s="68"/>
      <c r="I39" s="68"/>
      <c r="J39" s="68"/>
      <c r="K39" s="68"/>
      <c r="L39" s="68"/>
      <c r="M39" s="68"/>
      <c r="N39" s="68"/>
      <c r="O39" s="68"/>
      <c r="P39" s="68"/>
      <c r="Q39" s="125"/>
      <c r="R39" s="68"/>
    </row>
    <row r="40" spans="1:26" ht="33.75" customHeight="1">
      <c r="A40" s="68"/>
      <c r="B40" s="68"/>
      <c r="C40" s="68"/>
      <c r="D40" s="68"/>
      <c r="E40" s="68"/>
      <c r="F40" s="68"/>
      <c r="G40" s="68"/>
      <c r="H40" s="68"/>
      <c r="I40" s="68"/>
      <c r="J40" s="68"/>
      <c r="K40" s="68"/>
      <c r="L40" s="68"/>
      <c r="M40" s="68"/>
      <c r="N40" s="68"/>
      <c r="O40" s="68"/>
      <c r="P40" s="68"/>
      <c r="Q40" s="125"/>
      <c r="R40" s="68"/>
    </row>
    <row r="41" spans="1:26" ht="33.75" customHeight="1">
      <c r="A41" s="68"/>
      <c r="B41" s="68"/>
      <c r="C41" s="68"/>
      <c r="D41" s="68"/>
      <c r="E41" s="68"/>
      <c r="F41" s="68"/>
      <c r="G41" s="68"/>
      <c r="H41" s="68"/>
      <c r="I41" s="68"/>
      <c r="J41" s="68"/>
      <c r="K41" s="68"/>
      <c r="L41" s="68"/>
      <c r="M41" s="68"/>
      <c r="N41" s="68"/>
      <c r="O41" s="68"/>
      <c r="P41" s="68"/>
      <c r="Q41" s="125"/>
      <c r="R41" s="68"/>
    </row>
    <row r="42" spans="1:26" ht="33.75" customHeight="1">
      <c r="A42" s="68"/>
      <c r="B42" s="68"/>
      <c r="C42" s="68"/>
      <c r="D42" s="68"/>
      <c r="E42" s="68"/>
      <c r="F42" s="68"/>
      <c r="G42" s="68"/>
      <c r="H42" s="68"/>
      <c r="I42" s="68"/>
      <c r="J42" s="68"/>
      <c r="K42" s="68"/>
      <c r="L42" s="68"/>
      <c r="M42" s="68"/>
      <c r="N42" s="68"/>
      <c r="O42" s="68"/>
      <c r="P42" s="68"/>
      <c r="Q42" s="125"/>
      <c r="R42" s="68"/>
    </row>
    <row r="43" spans="1:26" ht="33.75" customHeight="1">
      <c r="A43" s="68"/>
      <c r="B43" s="68"/>
      <c r="C43" s="68"/>
      <c r="D43" s="68"/>
      <c r="E43" s="68"/>
      <c r="F43" s="68"/>
      <c r="G43" s="68"/>
      <c r="H43" s="68"/>
      <c r="I43" s="68"/>
      <c r="J43" s="68"/>
      <c r="K43" s="68"/>
      <c r="L43" s="68"/>
      <c r="M43" s="68"/>
      <c r="N43" s="68"/>
      <c r="O43" s="68"/>
      <c r="P43" s="68"/>
      <c r="Q43" s="125"/>
      <c r="R43" s="68"/>
    </row>
    <row r="44" spans="1:26" ht="33.75" customHeight="1">
      <c r="A44" s="68"/>
      <c r="B44" s="68"/>
      <c r="C44" s="68"/>
      <c r="D44" s="68"/>
      <c r="E44" s="68"/>
      <c r="F44" s="68"/>
      <c r="G44" s="68"/>
      <c r="H44" s="68"/>
      <c r="I44" s="68"/>
      <c r="J44" s="68"/>
      <c r="K44" s="68"/>
      <c r="L44" s="68"/>
      <c r="M44" s="68"/>
      <c r="N44" s="68"/>
      <c r="O44" s="68"/>
      <c r="P44" s="68"/>
      <c r="Q44" s="125"/>
      <c r="R44" s="68"/>
    </row>
    <row r="45" spans="1:26" ht="33.75" customHeight="1">
      <c r="A45" s="68"/>
      <c r="B45" s="68"/>
      <c r="C45" s="68"/>
      <c r="D45" s="68"/>
      <c r="E45" s="68"/>
      <c r="F45" s="68"/>
      <c r="G45" s="68"/>
      <c r="H45" s="68"/>
      <c r="I45" s="68"/>
      <c r="J45" s="68"/>
      <c r="K45" s="68"/>
      <c r="L45" s="68"/>
      <c r="M45" s="68"/>
      <c r="N45" s="68"/>
      <c r="O45" s="68"/>
      <c r="P45" s="68"/>
      <c r="Q45" s="125"/>
      <c r="R45" s="68"/>
    </row>
    <row r="46" spans="1:26" ht="33.75" customHeight="1">
      <c r="A46" s="68"/>
      <c r="B46" s="68"/>
      <c r="C46" s="68"/>
      <c r="D46" s="68"/>
      <c r="E46" s="68"/>
      <c r="F46" s="68"/>
      <c r="G46" s="68"/>
      <c r="H46" s="68"/>
      <c r="I46" s="68"/>
      <c r="J46" s="68"/>
      <c r="K46" s="68"/>
      <c r="L46" s="68"/>
      <c r="M46" s="68"/>
      <c r="N46" s="68"/>
      <c r="O46" s="68"/>
      <c r="P46" s="68"/>
      <c r="Q46" s="125"/>
      <c r="R46" s="68"/>
    </row>
    <row r="47" spans="1:26" ht="33.75" customHeight="1">
      <c r="A47" s="68"/>
      <c r="B47" s="68"/>
      <c r="C47" s="68"/>
      <c r="D47" s="68"/>
      <c r="E47" s="68"/>
      <c r="F47" s="68"/>
      <c r="G47" s="68"/>
      <c r="H47" s="68"/>
      <c r="I47" s="68"/>
      <c r="J47" s="68"/>
      <c r="K47" s="68"/>
      <c r="L47" s="68"/>
      <c r="M47" s="68"/>
      <c r="N47" s="68"/>
      <c r="O47" s="68"/>
      <c r="P47" s="68"/>
      <c r="Q47" s="125"/>
      <c r="R47" s="68"/>
    </row>
    <row r="48" spans="1:26" ht="33.75" customHeight="1">
      <c r="A48" s="68"/>
      <c r="B48" s="68"/>
      <c r="C48" s="68"/>
      <c r="D48" s="68"/>
      <c r="E48" s="68"/>
      <c r="F48" s="68"/>
      <c r="G48" s="68"/>
      <c r="H48" s="68"/>
      <c r="I48" s="68"/>
      <c r="J48" s="68"/>
      <c r="K48" s="68"/>
      <c r="L48" s="68"/>
      <c r="M48" s="68"/>
      <c r="N48" s="68"/>
      <c r="O48" s="68"/>
      <c r="P48" s="68"/>
      <c r="Q48" s="125"/>
      <c r="R48" s="68"/>
    </row>
    <row r="49" spans="1:18" ht="33.75" customHeight="1">
      <c r="A49" s="68"/>
      <c r="B49" s="68"/>
      <c r="C49" s="68"/>
      <c r="D49" s="68"/>
      <c r="E49" s="68"/>
      <c r="F49" s="68"/>
      <c r="G49" s="68"/>
      <c r="H49" s="68"/>
      <c r="I49" s="68"/>
      <c r="J49" s="68"/>
      <c r="K49" s="68"/>
      <c r="L49" s="68"/>
      <c r="M49" s="68"/>
      <c r="N49" s="68"/>
      <c r="O49" s="68"/>
      <c r="P49" s="68"/>
      <c r="Q49" s="125"/>
      <c r="R49" s="68"/>
    </row>
    <row r="50" spans="1:18" ht="33.75" customHeight="1">
      <c r="A50" s="68"/>
      <c r="B50" s="68"/>
      <c r="C50" s="68"/>
      <c r="D50" s="68"/>
      <c r="E50" s="68"/>
      <c r="F50" s="68"/>
      <c r="G50" s="68"/>
      <c r="H50" s="68"/>
      <c r="I50" s="68"/>
      <c r="J50" s="68"/>
      <c r="K50" s="68"/>
      <c r="L50" s="68"/>
      <c r="M50" s="68"/>
      <c r="N50" s="68"/>
      <c r="O50" s="68"/>
      <c r="P50" s="68"/>
      <c r="Q50" s="125"/>
      <c r="R50" s="68"/>
    </row>
    <row r="51" spans="1:18" ht="33.75" customHeight="1">
      <c r="A51" s="68"/>
      <c r="B51" s="68"/>
      <c r="C51" s="68"/>
      <c r="D51" s="68"/>
      <c r="E51" s="68"/>
      <c r="F51" s="68"/>
      <c r="G51" s="68"/>
      <c r="H51" s="68"/>
      <c r="I51" s="68"/>
      <c r="J51" s="68"/>
      <c r="K51" s="68"/>
      <c r="L51" s="68"/>
      <c r="M51" s="68"/>
      <c r="N51" s="68"/>
      <c r="O51" s="68"/>
      <c r="P51" s="68"/>
      <c r="Q51" s="125"/>
      <c r="R51" s="68"/>
    </row>
    <row r="52" spans="1:18" ht="33.75" customHeight="1">
      <c r="A52" s="68"/>
      <c r="B52" s="68"/>
      <c r="C52" s="68"/>
      <c r="D52" s="68"/>
      <c r="E52" s="68"/>
      <c r="F52" s="68"/>
      <c r="G52" s="68"/>
      <c r="H52" s="68"/>
      <c r="I52" s="68"/>
      <c r="J52" s="68"/>
      <c r="K52" s="68"/>
      <c r="L52" s="68"/>
      <c r="M52" s="68"/>
      <c r="N52" s="68"/>
      <c r="O52" s="68"/>
      <c r="P52" s="68"/>
      <c r="Q52" s="125"/>
      <c r="R52" s="68"/>
    </row>
    <row r="53" spans="1:18" ht="33.75" customHeight="1">
      <c r="A53" s="68"/>
      <c r="B53" s="68"/>
      <c r="C53" s="68"/>
      <c r="D53" s="68"/>
      <c r="E53" s="68"/>
      <c r="F53" s="68"/>
      <c r="G53" s="68"/>
      <c r="H53" s="68"/>
      <c r="I53" s="68"/>
      <c r="J53" s="68"/>
      <c r="K53" s="68"/>
      <c r="L53" s="68"/>
      <c r="M53" s="68"/>
      <c r="N53" s="68"/>
      <c r="O53" s="68"/>
      <c r="P53" s="68"/>
      <c r="Q53" s="125"/>
      <c r="R53" s="68"/>
    </row>
    <row r="54" spans="1:18" ht="33.75" customHeight="1">
      <c r="A54" s="68"/>
      <c r="B54" s="68"/>
      <c r="C54" s="68"/>
      <c r="D54" s="68"/>
      <c r="E54" s="68"/>
      <c r="F54" s="68"/>
      <c r="G54" s="68"/>
      <c r="H54" s="68"/>
      <c r="I54" s="68"/>
      <c r="J54" s="68"/>
      <c r="K54" s="68"/>
      <c r="L54" s="68"/>
      <c r="M54" s="68"/>
      <c r="N54" s="68"/>
      <c r="O54" s="68"/>
      <c r="P54" s="68"/>
      <c r="Q54" s="125"/>
      <c r="R54" s="68"/>
    </row>
    <row r="55" spans="1:18" ht="33.75" customHeight="1">
      <c r="A55" s="68"/>
      <c r="B55" s="68"/>
      <c r="C55" s="68"/>
      <c r="D55" s="68"/>
      <c r="E55" s="68"/>
      <c r="F55" s="68"/>
      <c r="G55" s="68"/>
      <c r="H55" s="68"/>
      <c r="I55" s="68"/>
      <c r="J55" s="68"/>
      <c r="K55" s="68"/>
      <c r="L55" s="68"/>
      <c r="M55" s="68"/>
      <c r="N55" s="68"/>
      <c r="O55" s="68"/>
      <c r="P55" s="68"/>
      <c r="Q55" s="125"/>
      <c r="R55" s="68"/>
    </row>
    <row r="56" spans="1:18" ht="33.75" customHeight="1">
      <c r="A56" s="68"/>
      <c r="B56" s="68"/>
      <c r="C56" s="68"/>
      <c r="D56" s="68"/>
      <c r="E56" s="68"/>
      <c r="F56" s="68"/>
      <c r="G56" s="68"/>
      <c r="H56" s="68"/>
      <c r="I56" s="68"/>
      <c r="J56" s="68"/>
      <c r="K56" s="68"/>
      <c r="L56" s="68"/>
      <c r="M56" s="68"/>
      <c r="N56" s="68"/>
      <c r="O56" s="68"/>
      <c r="P56" s="68"/>
      <c r="Q56" s="125"/>
      <c r="R56" s="68"/>
    </row>
    <row r="57" spans="1:18" ht="33.75" customHeight="1">
      <c r="A57" s="68"/>
      <c r="B57" s="68"/>
      <c r="C57" s="68"/>
      <c r="D57" s="68"/>
      <c r="E57" s="68"/>
      <c r="F57" s="68"/>
      <c r="G57" s="68"/>
      <c r="H57" s="68"/>
      <c r="I57" s="68"/>
      <c r="J57" s="68"/>
      <c r="K57" s="68"/>
      <c r="L57" s="68"/>
      <c r="M57" s="68"/>
      <c r="N57" s="68"/>
      <c r="O57" s="68"/>
      <c r="P57" s="68"/>
      <c r="Q57" s="125"/>
      <c r="R57" s="68"/>
    </row>
    <row r="58" spans="1:18" ht="33.75" customHeight="1">
      <c r="A58" s="68"/>
      <c r="B58" s="68"/>
      <c r="C58" s="68"/>
      <c r="D58" s="68"/>
      <c r="E58" s="68"/>
      <c r="F58" s="68"/>
      <c r="G58" s="68"/>
      <c r="H58" s="68"/>
      <c r="I58" s="68"/>
      <c r="J58" s="68"/>
      <c r="K58" s="68"/>
      <c r="L58" s="68"/>
      <c r="M58" s="68"/>
      <c r="N58" s="68"/>
      <c r="O58" s="68"/>
      <c r="P58" s="68"/>
      <c r="Q58" s="125"/>
      <c r="R58" s="68"/>
    </row>
    <row r="59" spans="1:18" ht="33.75" customHeight="1">
      <c r="A59" s="68"/>
      <c r="B59" s="68"/>
      <c r="C59" s="68"/>
      <c r="D59" s="68"/>
      <c r="E59" s="68"/>
      <c r="F59" s="68"/>
      <c r="G59" s="68"/>
      <c r="H59" s="68"/>
      <c r="I59" s="68"/>
      <c r="J59" s="68"/>
      <c r="K59" s="68"/>
      <c r="L59" s="68"/>
      <c r="M59" s="68"/>
      <c r="N59" s="68"/>
      <c r="O59" s="68"/>
      <c r="P59" s="68"/>
      <c r="Q59" s="125"/>
      <c r="R59" s="68"/>
    </row>
    <row r="60" spans="1:18" ht="33.75" customHeight="1">
      <c r="A60" s="68"/>
      <c r="B60" s="68"/>
      <c r="C60" s="68"/>
      <c r="D60" s="68"/>
      <c r="E60" s="68"/>
      <c r="F60" s="68"/>
      <c r="G60" s="68"/>
      <c r="H60" s="68"/>
      <c r="I60" s="68"/>
      <c r="J60" s="68"/>
      <c r="K60" s="68"/>
      <c r="L60" s="68"/>
      <c r="M60" s="68"/>
      <c r="N60" s="68"/>
      <c r="O60" s="68"/>
      <c r="P60" s="68"/>
      <c r="Q60" s="125"/>
      <c r="R60" s="68"/>
    </row>
    <row r="61" spans="1:18" ht="33.75" customHeight="1">
      <c r="A61" s="68"/>
      <c r="B61" s="68"/>
      <c r="C61" s="68"/>
      <c r="D61" s="68"/>
      <c r="E61" s="68"/>
      <c r="F61" s="68"/>
      <c r="G61" s="68"/>
      <c r="H61" s="68"/>
      <c r="I61" s="68"/>
      <c r="J61" s="68"/>
      <c r="K61" s="68"/>
      <c r="L61" s="68"/>
      <c r="M61" s="68"/>
      <c r="N61" s="68"/>
      <c r="O61" s="68"/>
      <c r="P61" s="68"/>
      <c r="Q61" s="125"/>
      <c r="R61" s="68"/>
    </row>
    <row r="62" spans="1:18" ht="33.75" customHeight="1">
      <c r="A62" s="68"/>
      <c r="B62" s="68"/>
      <c r="C62" s="68"/>
      <c r="D62" s="68"/>
      <c r="E62" s="68"/>
      <c r="F62" s="68"/>
      <c r="G62" s="68"/>
      <c r="H62" s="68"/>
      <c r="I62" s="68"/>
      <c r="J62" s="68"/>
      <c r="K62" s="68"/>
      <c r="L62" s="68"/>
      <c r="M62" s="68"/>
      <c r="N62" s="68"/>
      <c r="O62" s="68"/>
      <c r="P62" s="68"/>
      <c r="Q62" s="125"/>
      <c r="R62" s="68"/>
    </row>
    <row r="63" spans="1:18" ht="33.75" customHeight="1">
      <c r="A63" s="68"/>
      <c r="B63" s="68"/>
      <c r="C63" s="68"/>
      <c r="D63" s="68"/>
      <c r="E63" s="68"/>
      <c r="F63" s="68"/>
      <c r="G63" s="68"/>
      <c r="H63" s="68"/>
      <c r="I63" s="68"/>
      <c r="J63" s="68"/>
      <c r="K63" s="68"/>
      <c r="L63" s="68"/>
      <c r="M63" s="68"/>
      <c r="N63" s="68"/>
      <c r="O63" s="68"/>
      <c r="P63" s="68"/>
      <c r="Q63" s="125"/>
      <c r="R63" s="68"/>
    </row>
    <row r="64" spans="1:18" ht="33.75" customHeight="1">
      <c r="A64" s="68"/>
      <c r="B64" s="68"/>
      <c r="C64" s="68"/>
      <c r="D64" s="68"/>
      <c r="E64" s="68"/>
      <c r="F64" s="68"/>
      <c r="G64" s="68"/>
      <c r="H64" s="68"/>
      <c r="I64" s="68"/>
      <c r="J64" s="68"/>
      <c r="K64" s="68"/>
      <c r="L64" s="68"/>
      <c r="M64" s="68"/>
      <c r="N64" s="68"/>
      <c r="O64" s="68"/>
      <c r="P64" s="68"/>
      <c r="Q64" s="125"/>
      <c r="R64" s="68"/>
    </row>
    <row r="65" spans="1:18" ht="33.75" customHeight="1">
      <c r="A65" s="68"/>
      <c r="B65" s="68"/>
      <c r="C65" s="68"/>
      <c r="D65" s="68"/>
      <c r="E65" s="68"/>
      <c r="F65" s="68"/>
      <c r="G65" s="68"/>
      <c r="H65" s="68"/>
      <c r="I65" s="68"/>
      <c r="J65" s="68"/>
      <c r="K65" s="68"/>
      <c r="L65" s="68"/>
      <c r="M65" s="68"/>
      <c r="N65" s="68"/>
      <c r="O65" s="68"/>
      <c r="P65" s="68"/>
      <c r="Q65" s="125"/>
      <c r="R65" s="68"/>
    </row>
    <row r="66" spans="1:18" ht="33.75" customHeight="1">
      <c r="A66" s="68"/>
      <c r="B66" s="68"/>
      <c r="C66" s="68"/>
      <c r="D66" s="68"/>
      <c r="E66" s="68"/>
      <c r="F66" s="68"/>
      <c r="G66" s="68"/>
      <c r="H66" s="68"/>
      <c r="I66" s="68"/>
      <c r="J66" s="68"/>
      <c r="K66" s="68"/>
      <c r="L66" s="68"/>
      <c r="M66" s="68"/>
      <c r="N66" s="68"/>
      <c r="O66" s="68"/>
      <c r="P66" s="68"/>
      <c r="Q66" s="125"/>
      <c r="R66" s="68"/>
    </row>
    <row r="67" spans="1:18" ht="33.75" customHeight="1">
      <c r="A67" s="68"/>
      <c r="B67" s="68"/>
      <c r="C67" s="68"/>
      <c r="D67" s="68"/>
      <c r="E67" s="68"/>
      <c r="F67" s="68"/>
      <c r="G67" s="68"/>
      <c r="H67" s="68"/>
      <c r="I67" s="68"/>
      <c r="J67" s="68"/>
      <c r="K67" s="68"/>
      <c r="L67" s="68"/>
      <c r="M67" s="68"/>
      <c r="N67" s="68"/>
      <c r="O67" s="68"/>
      <c r="P67" s="68"/>
      <c r="Q67" s="125"/>
      <c r="R67" s="68"/>
    </row>
    <row r="68" spans="1:18" ht="33.75" customHeight="1">
      <c r="A68" s="68"/>
      <c r="B68" s="68"/>
      <c r="C68" s="68"/>
      <c r="D68" s="68"/>
      <c r="E68" s="68"/>
      <c r="F68" s="68"/>
      <c r="G68" s="68"/>
      <c r="H68" s="68"/>
      <c r="I68" s="68"/>
      <c r="J68" s="68"/>
      <c r="K68" s="68"/>
      <c r="L68" s="68"/>
      <c r="M68" s="68"/>
      <c r="N68" s="68"/>
      <c r="O68" s="68"/>
      <c r="P68" s="68"/>
      <c r="Q68" s="125"/>
      <c r="R68" s="68"/>
    </row>
    <row r="69" spans="1:18" ht="33.75" customHeight="1">
      <c r="A69" s="68"/>
      <c r="B69" s="68"/>
      <c r="C69" s="68"/>
      <c r="D69" s="68"/>
      <c r="E69" s="68"/>
      <c r="F69" s="68"/>
      <c r="G69" s="68"/>
      <c r="H69" s="68"/>
      <c r="I69" s="68"/>
      <c r="J69" s="68"/>
      <c r="K69" s="68"/>
      <c r="L69" s="68"/>
      <c r="M69" s="68"/>
      <c r="N69" s="68"/>
      <c r="O69" s="68"/>
      <c r="P69" s="68"/>
      <c r="Q69" s="125"/>
      <c r="R69" s="68"/>
    </row>
    <row r="70" spans="1:18" ht="33.75" customHeight="1">
      <c r="A70" s="68"/>
      <c r="B70" s="68"/>
      <c r="C70" s="68"/>
      <c r="D70" s="68"/>
      <c r="E70" s="68"/>
      <c r="F70" s="68"/>
      <c r="G70" s="68"/>
      <c r="H70" s="68"/>
      <c r="I70" s="68"/>
      <c r="J70" s="68"/>
      <c r="K70" s="68"/>
      <c r="L70" s="68"/>
      <c r="M70" s="68"/>
      <c r="N70" s="68"/>
      <c r="O70" s="68"/>
      <c r="P70" s="68"/>
      <c r="Q70" s="125"/>
      <c r="R70" s="68"/>
    </row>
    <row r="71" spans="1:18" ht="33.75" customHeight="1">
      <c r="A71" s="68"/>
      <c r="B71" s="68"/>
      <c r="C71" s="68"/>
      <c r="D71" s="68"/>
      <c r="E71" s="68"/>
      <c r="F71" s="68"/>
      <c r="G71" s="68"/>
      <c r="H71" s="68"/>
      <c r="I71" s="68"/>
      <c r="J71" s="68"/>
      <c r="K71" s="68"/>
      <c r="L71" s="68"/>
      <c r="M71" s="68"/>
      <c r="N71" s="68"/>
      <c r="O71" s="68"/>
      <c r="P71" s="68"/>
      <c r="Q71" s="125"/>
      <c r="R71" s="68"/>
    </row>
    <row r="72" spans="1:18" ht="33.75" customHeight="1">
      <c r="A72" s="68"/>
      <c r="B72" s="68"/>
      <c r="C72" s="68"/>
      <c r="D72" s="68"/>
      <c r="E72" s="68"/>
      <c r="F72" s="68"/>
      <c r="G72" s="68"/>
      <c r="H72" s="68"/>
      <c r="I72" s="68"/>
      <c r="J72" s="68"/>
      <c r="K72" s="68"/>
      <c r="L72" s="68"/>
      <c r="M72" s="68"/>
      <c r="N72" s="68"/>
      <c r="O72" s="68"/>
      <c r="P72" s="68"/>
      <c r="Q72" s="125"/>
      <c r="R72" s="68"/>
    </row>
    <row r="73" spans="1:18" ht="33.75" customHeight="1">
      <c r="A73" s="68"/>
      <c r="B73" s="68"/>
      <c r="C73" s="68"/>
      <c r="D73" s="68"/>
      <c r="E73" s="68"/>
      <c r="F73" s="68"/>
      <c r="G73" s="68"/>
      <c r="H73" s="68"/>
      <c r="I73" s="68"/>
      <c r="J73" s="68"/>
      <c r="K73" s="68"/>
      <c r="L73" s="68"/>
      <c r="M73" s="68"/>
      <c r="N73" s="68"/>
      <c r="O73" s="68"/>
      <c r="P73" s="68"/>
      <c r="Q73" s="125"/>
      <c r="R73" s="68"/>
    </row>
    <row r="74" spans="1:18" ht="33.75" customHeight="1">
      <c r="A74" s="68"/>
      <c r="B74" s="68"/>
      <c r="C74" s="68"/>
      <c r="D74" s="68"/>
      <c r="E74" s="68"/>
      <c r="F74" s="68"/>
      <c r="G74" s="68"/>
      <c r="H74" s="68"/>
      <c r="I74" s="68"/>
      <c r="J74" s="68"/>
      <c r="K74" s="68"/>
      <c r="L74" s="68"/>
      <c r="M74" s="68"/>
      <c r="N74" s="68"/>
      <c r="O74" s="68"/>
      <c r="P74" s="68"/>
      <c r="Q74" s="125"/>
      <c r="R74" s="68"/>
    </row>
    <row r="75" spans="1:18" ht="33.75" customHeight="1">
      <c r="A75" s="68"/>
      <c r="B75" s="68"/>
      <c r="C75" s="68"/>
      <c r="D75" s="68"/>
      <c r="E75" s="68"/>
      <c r="F75" s="68"/>
      <c r="G75" s="68"/>
      <c r="H75" s="68"/>
      <c r="I75" s="68"/>
      <c r="J75" s="68"/>
      <c r="K75" s="68"/>
      <c r="L75" s="68"/>
      <c r="M75" s="68"/>
      <c r="N75" s="68"/>
      <c r="O75" s="68"/>
      <c r="P75" s="68"/>
      <c r="Q75" s="125"/>
      <c r="R75" s="68"/>
    </row>
    <row r="76" spans="1:18" ht="33.75" customHeight="1">
      <c r="A76" s="68"/>
      <c r="B76" s="68"/>
      <c r="C76" s="68"/>
      <c r="D76" s="68"/>
      <c r="E76" s="68"/>
      <c r="F76" s="68"/>
      <c r="G76" s="68"/>
      <c r="H76" s="68"/>
      <c r="I76" s="68"/>
      <c r="J76" s="68"/>
      <c r="K76" s="68"/>
      <c r="L76" s="68"/>
      <c r="M76" s="68"/>
      <c r="N76" s="68"/>
      <c r="O76" s="68"/>
      <c r="P76" s="68"/>
      <c r="Q76" s="125"/>
      <c r="R76" s="68"/>
    </row>
    <row r="77" spans="1:18" ht="33.75" customHeight="1">
      <c r="A77" s="68"/>
      <c r="B77" s="68"/>
      <c r="C77" s="68"/>
      <c r="D77" s="68"/>
      <c r="E77" s="68"/>
      <c r="F77" s="68"/>
      <c r="G77" s="68"/>
      <c r="H77" s="68"/>
      <c r="I77" s="68"/>
      <c r="J77" s="68"/>
      <c r="K77" s="68"/>
      <c r="L77" s="68"/>
      <c r="M77" s="68"/>
      <c r="N77" s="68"/>
      <c r="O77" s="68"/>
      <c r="P77" s="68"/>
      <c r="Q77" s="125"/>
      <c r="R77" s="68"/>
    </row>
    <row r="78" spans="1:18" ht="33.75" customHeight="1">
      <c r="A78" s="68"/>
      <c r="B78" s="68"/>
      <c r="C78" s="68"/>
      <c r="D78" s="68"/>
      <c r="E78" s="68"/>
      <c r="F78" s="68"/>
      <c r="G78" s="68"/>
      <c r="H78" s="68"/>
      <c r="I78" s="68"/>
      <c r="J78" s="68"/>
      <c r="K78" s="68"/>
      <c r="L78" s="68"/>
      <c r="M78" s="68"/>
      <c r="N78" s="68"/>
      <c r="O78" s="68"/>
      <c r="P78" s="68"/>
      <c r="Q78" s="125"/>
      <c r="R78" s="68"/>
    </row>
    <row r="79" spans="1:18" ht="33.75" customHeight="1">
      <c r="A79" s="68"/>
      <c r="B79" s="68"/>
      <c r="C79" s="68"/>
      <c r="D79" s="68"/>
      <c r="E79" s="68"/>
      <c r="F79" s="68"/>
      <c r="G79" s="68"/>
      <c r="H79" s="68"/>
      <c r="I79" s="68"/>
      <c r="J79" s="68"/>
      <c r="K79" s="68"/>
      <c r="L79" s="68"/>
      <c r="M79" s="68"/>
      <c r="N79" s="68"/>
      <c r="O79" s="68"/>
      <c r="P79" s="68"/>
      <c r="Q79" s="125"/>
      <c r="R79" s="68"/>
    </row>
    <row r="80" spans="1:18" ht="33.75" customHeight="1">
      <c r="A80" s="68"/>
      <c r="B80" s="68"/>
      <c r="C80" s="68"/>
      <c r="D80" s="68"/>
      <c r="E80" s="68"/>
      <c r="F80" s="68"/>
      <c r="G80" s="68"/>
      <c r="H80" s="68"/>
      <c r="I80" s="68"/>
      <c r="J80" s="68"/>
      <c r="K80" s="68"/>
      <c r="L80" s="68"/>
      <c r="M80" s="68"/>
      <c r="N80" s="68"/>
      <c r="O80" s="68"/>
      <c r="P80" s="68"/>
      <c r="Q80" s="125"/>
      <c r="R80" s="68"/>
    </row>
    <row r="81" spans="1:18" ht="33.75" customHeight="1">
      <c r="A81" s="68"/>
      <c r="B81" s="68"/>
      <c r="C81" s="68"/>
      <c r="D81" s="68"/>
      <c r="E81" s="68"/>
      <c r="F81" s="68"/>
      <c r="G81" s="68"/>
      <c r="H81" s="68"/>
      <c r="I81" s="68"/>
      <c r="J81" s="68"/>
      <c r="K81" s="68"/>
      <c r="L81" s="68"/>
      <c r="M81" s="68"/>
      <c r="N81" s="68"/>
      <c r="O81" s="68"/>
      <c r="P81" s="68"/>
      <c r="Q81" s="125"/>
      <c r="R81" s="68"/>
    </row>
    <row r="82" spans="1:18" ht="33.75" customHeight="1">
      <c r="A82" s="68"/>
      <c r="B82" s="68"/>
      <c r="C82" s="68"/>
      <c r="D82" s="68"/>
      <c r="E82" s="68"/>
      <c r="F82" s="68"/>
      <c r="G82" s="68"/>
      <c r="H82" s="68"/>
      <c r="I82" s="68"/>
      <c r="J82" s="68"/>
      <c r="K82" s="68"/>
      <c r="L82" s="68"/>
      <c r="M82" s="68"/>
      <c r="N82" s="68"/>
      <c r="O82" s="68"/>
      <c r="P82" s="68"/>
      <c r="Q82" s="125"/>
      <c r="R82" s="68"/>
    </row>
    <row r="83" spans="1:18" ht="33.75" customHeight="1">
      <c r="A83" s="68"/>
      <c r="B83" s="68"/>
      <c r="C83" s="68"/>
      <c r="D83" s="68"/>
      <c r="E83" s="68"/>
      <c r="F83" s="68"/>
      <c r="G83" s="68"/>
      <c r="H83" s="68"/>
      <c r="I83" s="68"/>
      <c r="J83" s="68"/>
      <c r="K83" s="68"/>
      <c r="L83" s="68"/>
      <c r="M83" s="68"/>
      <c r="N83" s="68"/>
      <c r="O83" s="68"/>
      <c r="P83" s="68"/>
      <c r="Q83" s="125"/>
      <c r="R83" s="68"/>
    </row>
    <row r="84" spans="1:18" ht="33.75" customHeight="1">
      <c r="A84" s="68"/>
      <c r="B84" s="68"/>
      <c r="C84" s="68"/>
      <c r="D84" s="68"/>
      <c r="E84" s="68"/>
      <c r="F84" s="68"/>
      <c r="G84" s="68"/>
      <c r="H84" s="68"/>
      <c r="I84" s="68"/>
      <c r="J84" s="68"/>
      <c r="K84" s="68"/>
      <c r="L84" s="68"/>
      <c r="M84" s="68"/>
      <c r="N84" s="68"/>
      <c r="O84" s="68"/>
      <c r="P84" s="68"/>
      <c r="Q84" s="125"/>
      <c r="R84" s="68"/>
    </row>
    <row r="85" spans="1:18" ht="33.75" customHeight="1">
      <c r="A85" s="68"/>
      <c r="B85" s="68"/>
      <c r="C85" s="68"/>
      <c r="D85" s="68"/>
      <c r="E85" s="68"/>
      <c r="F85" s="68"/>
      <c r="G85" s="68"/>
      <c r="H85" s="68"/>
      <c r="I85" s="68"/>
      <c r="J85" s="68"/>
      <c r="K85" s="68"/>
      <c r="L85" s="68"/>
      <c r="M85" s="68"/>
      <c r="N85" s="68"/>
      <c r="O85" s="68"/>
      <c r="P85" s="68"/>
      <c r="Q85" s="125"/>
      <c r="R85" s="68"/>
    </row>
    <row r="86" spans="1:18" ht="33.75" customHeight="1">
      <c r="A86" s="68"/>
      <c r="B86" s="68"/>
      <c r="C86" s="68"/>
      <c r="D86" s="68"/>
      <c r="E86" s="68"/>
      <c r="F86" s="68"/>
      <c r="G86" s="68"/>
      <c r="H86" s="68"/>
      <c r="I86" s="68"/>
      <c r="J86" s="68"/>
      <c r="K86" s="68"/>
      <c r="L86" s="68"/>
      <c r="M86" s="68"/>
      <c r="N86" s="68"/>
      <c r="O86" s="68"/>
      <c r="P86" s="68"/>
      <c r="Q86" s="125"/>
      <c r="R86" s="68"/>
    </row>
    <row r="87" spans="1:18" ht="33.75" customHeight="1">
      <c r="A87" s="68"/>
      <c r="B87" s="68"/>
      <c r="C87" s="68"/>
      <c r="D87" s="68"/>
      <c r="E87" s="68"/>
      <c r="F87" s="68"/>
      <c r="G87" s="68"/>
      <c r="H87" s="68"/>
      <c r="I87" s="68"/>
      <c r="J87" s="68"/>
      <c r="K87" s="68"/>
      <c r="L87" s="68"/>
      <c r="M87" s="68"/>
      <c r="N87" s="68"/>
      <c r="O87" s="68"/>
      <c r="P87" s="68"/>
      <c r="Q87" s="125"/>
      <c r="R87" s="68"/>
    </row>
    <row r="88" spans="1:18" ht="33.75" customHeight="1">
      <c r="A88" s="68"/>
      <c r="B88" s="68"/>
      <c r="C88" s="68"/>
      <c r="D88" s="68"/>
      <c r="E88" s="68"/>
      <c r="F88" s="68"/>
      <c r="G88" s="68"/>
      <c r="H88" s="68"/>
      <c r="I88" s="68"/>
      <c r="J88" s="68"/>
      <c r="K88" s="68"/>
      <c r="L88" s="68"/>
      <c r="M88" s="68"/>
      <c r="N88" s="68"/>
      <c r="O88" s="68"/>
      <c r="P88" s="68"/>
      <c r="Q88" s="125"/>
      <c r="R88" s="68"/>
    </row>
    <row r="89" spans="1:18" ht="33.75" customHeight="1">
      <c r="A89" s="68"/>
      <c r="B89" s="68"/>
      <c r="C89" s="68"/>
      <c r="D89" s="68"/>
      <c r="E89" s="68"/>
      <c r="F89" s="68"/>
      <c r="G89" s="68"/>
      <c r="H89" s="68"/>
      <c r="I89" s="68"/>
      <c r="J89" s="68"/>
      <c r="K89" s="68"/>
      <c r="L89" s="68"/>
      <c r="M89" s="68"/>
      <c r="N89" s="68"/>
      <c r="O89" s="68"/>
      <c r="P89" s="68"/>
      <c r="Q89" s="125"/>
      <c r="R89" s="68"/>
    </row>
    <row r="90" spans="1:18" ht="33.75" customHeight="1">
      <c r="A90" s="68"/>
      <c r="B90" s="68"/>
      <c r="C90" s="68"/>
      <c r="D90" s="68"/>
      <c r="E90" s="68"/>
      <c r="F90" s="68"/>
      <c r="G90" s="68"/>
      <c r="H90" s="68"/>
      <c r="I90" s="68"/>
      <c r="J90" s="68"/>
      <c r="K90" s="68"/>
      <c r="L90" s="68"/>
      <c r="M90" s="68"/>
      <c r="N90" s="68"/>
      <c r="O90" s="68"/>
      <c r="P90" s="68"/>
      <c r="Q90" s="125"/>
      <c r="R90" s="68"/>
    </row>
    <row r="91" spans="1:18" ht="33.75" customHeight="1">
      <c r="A91" s="68"/>
      <c r="B91" s="68"/>
      <c r="C91" s="68"/>
      <c r="D91" s="68"/>
      <c r="E91" s="68"/>
      <c r="F91" s="68"/>
      <c r="G91" s="68"/>
      <c r="H91" s="68"/>
      <c r="I91" s="68"/>
      <c r="J91" s="68"/>
      <c r="K91" s="68"/>
      <c r="L91" s="68"/>
      <c r="M91" s="68"/>
      <c r="N91" s="68"/>
      <c r="O91" s="68"/>
      <c r="P91" s="68"/>
      <c r="Q91" s="125"/>
      <c r="R91" s="68"/>
    </row>
    <row r="92" spans="1:18" ht="33.75" customHeight="1">
      <c r="A92" s="68"/>
      <c r="B92" s="68"/>
      <c r="C92" s="68"/>
      <c r="D92" s="68"/>
      <c r="E92" s="68"/>
      <c r="F92" s="68"/>
      <c r="G92" s="68"/>
      <c r="H92" s="68"/>
      <c r="I92" s="68"/>
      <c r="J92" s="68"/>
      <c r="K92" s="68"/>
      <c r="L92" s="68"/>
      <c r="M92" s="68"/>
      <c r="N92" s="68"/>
      <c r="O92" s="68"/>
      <c r="P92" s="68"/>
      <c r="Q92" s="125"/>
      <c r="R92" s="68"/>
    </row>
    <row r="93" spans="1:18" ht="33.75" customHeight="1">
      <c r="A93" s="68"/>
      <c r="B93" s="68"/>
      <c r="C93" s="68"/>
      <c r="D93" s="68"/>
      <c r="E93" s="68"/>
      <c r="F93" s="68"/>
      <c r="G93" s="68"/>
      <c r="H93" s="68"/>
      <c r="I93" s="68"/>
      <c r="J93" s="68"/>
      <c r="K93" s="68"/>
      <c r="L93" s="68"/>
      <c r="M93" s="68"/>
      <c r="N93" s="68"/>
      <c r="O93" s="68"/>
      <c r="P93" s="68"/>
      <c r="Q93" s="125"/>
      <c r="R93" s="68"/>
    </row>
    <row r="94" spans="1:18" ht="33.75" customHeight="1">
      <c r="A94" s="68"/>
      <c r="B94" s="68"/>
      <c r="C94" s="68"/>
      <c r="D94" s="68"/>
      <c r="E94" s="68"/>
      <c r="F94" s="68"/>
      <c r="G94" s="68"/>
      <c r="H94" s="68"/>
      <c r="I94" s="68"/>
      <c r="J94" s="68"/>
      <c r="K94" s="68"/>
      <c r="L94" s="68"/>
      <c r="M94" s="68"/>
      <c r="N94" s="68"/>
      <c r="O94" s="68"/>
      <c r="P94" s="68"/>
      <c r="Q94" s="125"/>
      <c r="R94" s="68"/>
    </row>
    <row r="95" spans="1:18" ht="33.75" customHeight="1">
      <c r="A95" s="68"/>
      <c r="B95" s="68"/>
      <c r="C95" s="68"/>
      <c r="D95" s="68"/>
      <c r="E95" s="68"/>
      <c r="F95" s="68"/>
      <c r="G95" s="68"/>
      <c r="H95" s="68"/>
      <c r="I95" s="68"/>
      <c r="J95" s="68"/>
      <c r="K95" s="68"/>
      <c r="L95" s="68"/>
      <c r="M95" s="68"/>
      <c r="N95" s="68"/>
      <c r="O95" s="68"/>
      <c r="P95" s="68"/>
      <c r="Q95" s="125"/>
      <c r="R95" s="68"/>
    </row>
    <row r="96" spans="1:18" ht="33.75" customHeight="1">
      <c r="A96" s="68"/>
      <c r="B96" s="68"/>
      <c r="C96" s="68"/>
      <c r="D96" s="68"/>
      <c r="E96" s="68"/>
      <c r="F96" s="68"/>
      <c r="G96" s="68"/>
      <c r="H96" s="68"/>
      <c r="I96" s="68"/>
      <c r="J96" s="68"/>
      <c r="K96" s="68"/>
      <c r="L96" s="68"/>
      <c r="M96" s="68"/>
      <c r="N96" s="68"/>
      <c r="O96" s="68"/>
      <c r="P96" s="68"/>
      <c r="Q96" s="125"/>
      <c r="R96" s="68"/>
    </row>
    <row r="97" spans="1:18" ht="33.75" customHeight="1">
      <c r="A97" s="68"/>
      <c r="B97" s="68"/>
      <c r="C97" s="68"/>
      <c r="D97" s="68"/>
      <c r="E97" s="68"/>
      <c r="F97" s="68"/>
      <c r="G97" s="68"/>
      <c r="H97" s="68"/>
      <c r="I97" s="68"/>
      <c r="J97" s="68"/>
      <c r="K97" s="68"/>
      <c r="L97" s="68"/>
      <c r="M97" s="68"/>
      <c r="N97" s="68"/>
      <c r="O97" s="68"/>
      <c r="P97" s="68"/>
      <c r="Q97" s="125"/>
      <c r="R97" s="68"/>
    </row>
    <row r="98" spans="1:18" ht="33.75" customHeight="1">
      <c r="A98" s="68"/>
      <c r="B98" s="68"/>
      <c r="C98" s="68"/>
      <c r="D98" s="68"/>
      <c r="E98" s="68"/>
      <c r="F98" s="68"/>
      <c r="G98" s="68"/>
      <c r="H98" s="68"/>
      <c r="I98" s="68"/>
      <c r="J98" s="68"/>
      <c r="K98" s="68"/>
      <c r="L98" s="68"/>
      <c r="M98" s="68"/>
      <c r="N98" s="68"/>
      <c r="O98" s="68"/>
      <c r="P98" s="68"/>
      <c r="Q98" s="125"/>
      <c r="R98" s="68"/>
    </row>
    <row r="99" spans="1:18" ht="33.75" customHeight="1">
      <c r="A99" s="68"/>
      <c r="B99" s="68"/>
      <c r="C99" s="68"/>
      <c r="D99" s="68"/>
      <c r="E99" s="68"/>
      <c r="F99" s="68"/>
      <c r="G99" s="68"/>
      <c r="H99" s="68"/>
      <c r="I99" s="68"/>
      <c r="J99" s="68"/>
      <c r="K99" s="68"/>
      <c r="L99" s="68"/>
      <c r="M99" s="68"/>
      <c r="N99" s="68"/>
      <c r="O99" s="68"/>
      <c r="P99" s="68"/>
      <c r="Q99" s="125"/>
      <c r="R99" s="68"/>
    </row>
    <row r="100" spans="1:18" ht="33.75" customHeight="1">
      <c r="A100" s="68"/>
      <c r="B100" s="68"/>
      <c r="C100" s="68"/>
      <c r="D100" s="68"/>
      <c r="E100" s="68"/>
      <c r="F100" s="68"/>
      <c r="G100" s="68"/>
      <c r="H100" s="68"/>
      <c r="I100" s="68"/>
      <c r="J100" s="68"/>
      <c r="K100" s="68"/>
      <c r="L100" s="68"/>
      <c r="M100" s="68"/>
      <c r="N100" s="68"/>
      <c r="O100" s="68"/>
      <c r="P100" s="68"/>
      <c r="Q100" s="125"/>
      <c r="R100" s="68"/>
    </row>
    <row r="101" spans="1:18" ht="33.75" customHeight="1">
      <c r="A101" s="68"/>
      <c r="B101" s="68"/>
      <c r="C101" s="68"/>
      <c r="D101" s="68"/>
      <c r="E101" s="68"/>
      <c r="F101" s="68"/>
      <c r="G101" s="68"/>
      <c r="H101" s="68"/>
      <c r="I101" s="68"/>
      <c r="J101" s="68"/>
      <c r="K101" s="68"/>
      <c r="L101" s="68"/>
      <c r="M101" s="68"/>
      <c r="N101" s="68"/>
      <c r="O101" s="68"/>
      <c r="P101" s="68"/>
      <c r="Q101" s="125"/>
      <c r="R101" s="68"/>
    </row>
    <row r="102" spans="1:18" ht="33.75" customHeight="1">
      <c r="A102" s="68"/>
      <c r="B102" s="68"/>
      <c r="C102" s="68"/>
      <c r="D102" s="68"/>
      <c r="E102" s="68"/>
      <c r="F102" s="68"/>
      <c r="G102" s="68"/>
      <c r="H102" s="68"/>
      <c r="I102" s="68"/>
      <c r="J102" s="68"/>
      <c r="K102" s="68"/>
      <c r="L102" s="68"/>
      <c r="M102" s="68"/>
      <c r="N102" s="68"/>
      <c r="O102" s="68"/>
      <c r="P102" s="68"/>
      <c r="Q102" s="125"/>
      <c r="R102" s="68"/>
    </row>
    <row r="103" spans="1:18" ht="33.75" customHeight="1">
      <c r="A103" s="68"/>
      <c r="B103" s="68"/>
      <c r="C103" s="68"/>
      <c r="D103" s="68"/>
      <c r="E103" s="68"/>
      <c r="F103" s="68"/>
      <c r="G103" s="68"/>
      <c r="H103" s="68"/>
      <c r="I103" s="68"/>
      <c r="J103" s="68"/>
      <c r="K103" s="68"/>
      <c r="L103" s="68"/>
      <c r="M103" s="68"/>
      <c r="N103" s="68"/>
      <c r="O103" s="68"/>
      <c r="P103" s="68"/>
      <c r="Q103" s="125"/>
      <c r="R103" s="68"/>
    </row>
    <row r="104" spans="1:18" ht="33.75" customHeight="1">
      <c r="A104" s="68"/>
      <c r="B104" s="68"/>
      <c r="C104" s="68"/>
      <c r="D104" s="68"/>
      <c r="E104" s="68"/>
      <c r="F104" s="68"/>
      <c r="G104" s="68"/>
      <c r="H104" s="68"/>
      <c r="I104" s="68"/>
      <c r="J104" s="68"/>
      <c r="K104" s="68"/>
      <c r="L104" s="68"/>
      <c r="M104" s="68"/>
      <c r="N104" s="68"/>
      <c r="O104" s="68"/>
      <c r="P104" s="68"/>
      <c r="Q104" s="125"/>
      <c r="R104" s="68"/>
    </row>
    <row r="105" spans="1:18" ht="33.75" customHeight="1">
      <c r="A105" s="68"/>
      <c r="B105" s="68"/>
      <c r="C105" s="68"/>
      <c r="D105" s="68"/>
      <c r="E105" s="68"/>
      <c r="F105" s="68"/>
      <c r="G105" s="68"/>
      <c r="H105" s="68"/>
      <c r="I105" s="68"/>
      <c r="J105" s="68"/>
      <c r="K105" s="68"/>
      <c r="L105" s="68"/>
      <c r="M105" s="68"/>
      <c r="N105" s="68"/>
      <c r="O105" s="68"/>
      <c r="P105" s="68"/>
      <c r="Q105" s="125"/>
      <c r="R105" s="68"/>
    </row>
    <row r="106" spans="1:18" ht="33.75" customHeight="1">
      <c r="A106" s="68"/>
      <c r="B106" s="68"/>
      <c r="C106" s="68"/>
      <c r="D106" s="68"/>
      <c r="E106" s="68"/>
      <c r="F106" s="68"/>
      <c r="G106" s="68"/>
      <c r="H106" s="68"/>
      <c r="I106" s="68"/>
      <c r="J106" s="68"/>
      <c r="K106" s="68"/>
      <c r="L106" s="68"/>
      <c r="M106" s="68"/>
      <c r="N106" s="68"/>
      <c r="O106" s="68"/>
      <c r="P106" s="68"/>
      <c r="Q106" s="125"/>
      <c r="R106" s="68"/>
    </row>
    <row r="107" spans="1:18" ht="33.75" customHeight="1">
      <c r="A107" s="68"/>
      <c r="B107" s="68"/>
      <c r="C107" s="68"/>
      <c r="D107" s="68"/>
      <c r="E107" s="68"/>
      <c r="F107" s="68"/>
      <c r="G107" s="68"/>
      <c r="H107" s="68"/>
      <c r="I107" s="68"/>
      <c r="J107" s="68"/>
      <c r="K107" s="68"/>
      <c r="L107" s="68"/>
      <c r="M107" s="68"/>
      <c r="N107" s="68"/>
      <c r="O107" s="68"/>
      <c r="P107" s="68"/>
      <c r="Q107" s="125"/>
      <c r="R107" s="68"/>
    </row>
    <row r="108" spans="1:18" ht="33.75" customHeight="1">
      <c r="A108" s="68"/>
      <c r="B108" s="68"/>
      <c r="C108" s="68"/>
      <c r="D108" s="68"/>
      <c r="E108" s="68"/>
      <c r="F108" s="68"/>
      <c r="G108" s="68"/>
      <c r="H108" s="68"/>
      <c r="I108" s="68"/>
      <c r="J108" s="68"/>
      <c r="K108" s="68"/>
      <c r="L108" s="68"/>
      <c r="M108" s="68"/>
      <c r="N108" s="68"/>
      <c r="O108" s="68"/>
      <c r="P108" s="68"/>
      <c r="Q108" s="125"/>
      <c r="R108" s="68"/>
    </row>
    <row r="109" spans="1:18" ht="33.75" customHeight="1">
      <c r="A109" s="68"/>
      <c r="B109" s="68"/>
      <c r="C109" s="68"/>
      <c r="D109" s="68"/>
      <c r="E109" s="68"/>
      <c r="F109" s="68"/>
      <c r="G109" s="68"/>
      <c r="H109" s="68"/>
      <c r="I109" s="68"/>
      <c r="J109" s="68"/>
      <c r="K109" s="68"/>
      <c r="L109" s="68"/>
      <c r="M109" s="68"/>
      <c r="N109" s="68"/>
      <c r="O109" s="68"/>
      <c r="P109" s="68"/>
      <c r="Q109" s="125"/>
      <c r="R109" s="68"/>
    </row>
    <row r="110" spans="1:18" ht="33.75" customHeight="1">
      <c r="A110" s="68"/>
      <c r="B110" s="68"/>
      <c r="C110" s="68"/>
      <c r="D110" s="68"/>
      <c r="E110" s="68"/>
      <c r="F110" s="68"/>
      <c r="G110" s="68"/>
      <c r="H110" s="68"/>
      <c r="I110" s="68"/>
      <c r="J110" s="68"/>
      <c r="K110" s="68"/>
      <c r="L110" s="68"/>
      <c r="M110" s="68"/>
      <c r="N110" s="68"/>
      <c r="O110" s="68"/>
      <c r="P110" s="68"/>
      <c r="Q110" s="125"/>
      <c r="R110" s="68"/>
    </row>
    <row r="111" spans="1:18" ht="33.75" customHeight="1">
      <c r="A111" s="68"/>
      <c r="B111" s="68"/>
      <c r="C111" s="68"/>
      <c r="D111" s="68"/>
      <c r="E111" s="68"/>
      <c r="F111" s="68"/>
      <c r="G111" s="68"/>
      <c r="H111" s="68"/>
      <c r="I111" s="68"/>
      <c r="J111" s="68"/>
      <c r="K111" s="68"/>
      <c r="L111" s="68"/>
      <c r="M111" s="68"/>
      <c r="N111" s="68"/>
      <c r="O111" s="68"/>
      <c r="P111" s="68"/>
      <c r="Q111" s="125"/>
      <c r="R111" s="68"/>
    </row>
    <row r="112" spans="1:18" ht="33.75" customHeight="1">
      <c r="A112" s="68"/>
      <c r="B112" s="68"/>
      <c r="C112" s="68"/>
      <c r="D112" s="68"/>
      <c r="E112" s="68"/>
      <c r="F112" s="68"/>
      <c r="G112" s="68"/>
      <c r="H112" s="68"/>
      <c r="I112" s="68"/>
      <c r="J112" s="68"/>
      <c r="K112" s="68"/>
      <c r="L112" s="68"/>
      <c r="M112" s="68"/>
      <c r="N112" s="68"/>
      <c r="O112" s="68"/>
      <c r="P112" s="68"/>
      <c r="Q112" s="125"/>
      <c r="R112" s="68"/>
    </row>
    <row r="113" spans="1:18" ht="33.75" customHeight="1">
      <c r="A113" s="68"/>
      <c r="B113" s="68"/>
      <c r="C113" s="68"/>
      <c r="D113" s="68"/>
      <c r="E113" s="68"/>
      <c r="F113" s="68"/>
      <c r="G113" s="68"/>
      <c r="H113" s="68"/>
      <c r="I113" s="68"/>
      <c r="J113" s="68"/>
      <c r="K113" s="68"/>
      <c r="L113" s="68"/>
      <c r="M113" s="68"/>
      <c r="N113" s="68"/>
      <c r="O113" s="68"/>
      <c r="P113" s="68"/>
      <c r="Q113" s="125"/>
      <c r="R113" s="68"/>
    </row>
    <row r="114" spans="1:18" ht="33.75" customHeight="1">
      <c r="A114" s="68"/>
      <c r="B114" s="68"/>
      <c r="C114" s="68"/>
      <c r="D114" s="68"/>
      <c r="E114" s="68"/>
      <c r="F114" s="68"/>
      <c r="G114" s="68"/>
      <c r="H114" s="68"/>
      <c r="I114" s="68"/>
      <c r="J114" s="68"/>
      <c r="K114" s="68"/>
      <c r="L114" s="68"/>
      <c r="M114" s="68"/>
      <c r="N114" s="68"/>
      <c r="O114" s="68"/>
      <c r="P114" s="68"/>
      <c r="Q114" s="125"/>
      <c r="R114" s="68"/>
    </row>
    <row r="115" spans="1:18" ht="33.75" customHeight="1">
      <c r="A115" s="68"/>
      <c r="B115" s="68"/>
      <c r="C115" s="68"/>
      <c r="D115" s="68"/>
      <c r="E115" s="68"/>
      <c r="F115" s="68"/>
      <c r="G115" s="68"/>
      <c r="H115" s="68"/>
      <c r="I115" s="68"/>
      <c r="J115" s="68"/>
      <c r="K115" s="68"/>
      <c r="L115" s="68"/>
      <c r="M115" s="68"/>
      <c r="N115" s="68"/>
      <c r="O115" s="68"/>
      <c r="P115" s="68"/>
      <c r="Q115" s="125"/>
      <c r="R115" s="68"/>
    </row>
    <row r="116" spans="1:18" ht="33.75" customHeight="1">
      <c r="A116" s="68"/>
      <c r="B116" s="68"/>
      <c r="C116" s="68"/>
      <c r="D116" s="68"/>
      <c r="E116" s="68"/>
      <c r="F116" s="68"/>
      <c r="G116" s="68"/>
      <c r="H116" s="68"/>
      <c r="I116" s="68"/>
      <c r="J116" s="68"/>
      <c r="K116" s="68"/>
      <c r="L116" s="68"/>
      <c r="M116" s="68"/>
      <c r="N116" s="68"/>
      <c r="O116" s="68"/>
      <c r="P116" s="68"/>
      <c r="Q116" s="125"/>
      <c r="R116" s="68"/>
    </row>
    <row r="117" spans="1:18" ht="33.75" customHeight="1">
      <c r="A117" s="68"/>
      <c r="B117" s="68"/>
      <c r="C117" s="68"/>
      <c r="D117" s="68"/>
      <c r="E117" s="68"/>
      <c r="F117" s="68"/>
      <c r="G117" s="68"/>
      <c r="H117" s="68"/>
      <c r="I117" s="68"/>
      <c r="J117" s="68"/>
      <c r="K117" s="68"/>
      <c r="L117" s="68"/>
      <c r="M117" s="68"/>
      <c r="N117" s="68"/>
      <c r="O117" s="68"/>
      <c r="P117" s="68"/>
      <c r="Q117" s="125"/>
      <c r="R117" s="68"/>
    </row>
    <row r="118" spans="1:18" ht="33.75" customHeight="1">
      <c r="A118" s="68"/>
      <c r="B118" s="68"/>
      <c r="C118" s="68"/>
      <c r="D118" s="68"/>
      <c r="E118" s="68"/>
      <c r="F118" s="68"/>
      <c r="G118" s="68"/>
      <c r="H118" s="68"/>
      <c r="I118" s="68"/>
      <c r="J118" s="68"/>
      <c r="K118" s="68"/>
      <c r="L118" s="68"/>
      <c r="M118" s="68"/>
      <c r="N118" s="68"/>
      <c r="O118" s="68"/>
      <c r="P118" s="68"/>
      <c r="Q118" s="125"/>
      <c r="R118" s="68"/>
    </row>
    <row r="119" spans="1:18" ht="33.75" customHeight="1">
      <c r="A119" s="68"/>
      <c r="B119" s="68"/>
      <c r="C119" s="68"/>
      <c r="D119" s="68"/>
      <c r="E119" s="68"/>
      <c r="F119" s="68"/>
      <c r="G119" s="68"/>
      <c r="H119" s="68"/>
      <c r="I119" s="68"/>
      <c r="J119" s="68"/>
      <c r="K119" s="68"/>
      <c r="L119" s="68"/>
      <c r="M119" s="68"/>
      <c r="N119" s="68"/>
      <c r="O119" s="68"/>
      <c r="P119" s="68"/>
      <c r="Q119" s="125"/>
      <c r="R119" s="68"/>
    </row>
    <row r="120" spans="1:18" ht="33.75" customHeight="1">
      <c r="A120" s="68"/>
      <c r="B120" s="68"/>
      <c r="C120" s="68"/>
      <c r="D120" s="68"/>
      <c r="E120" s="68"/>
      <c r="F120" s="68"/>
      <c r="G120" s="68"/>
      <c r="H120" s="68"/>
      <c r="I120" s="68"/>
      <c r="J120" s="68"/>
      <c r="K120" s="68"/>
      <c r="L120" s="68"/>
      <c r="M120" s="68"/>
      <c r="N120" s="68"/>
      <c r="O120" s="68"/>
      <c r="P120" s="68"/>
      <c r="Q120" s="125"/>
      <c r="R120" s="68"/>
    </row>
    <row r="121" spans="1:18" ht="33.75" customHeight="1">
      <c r="A121" s="68"/>
      <c r="B121" s="68"/>
      <c r="C121" s="68"/>
      <c r="D121" s="68"/>
      <c r="E121" s="68"/>
      <c r="F121" s="68"/>
      <c r="G121" s="68"/>
      <c r="H121" s="68"/>
      <c r="I121" s="68"/>
      <c r="J121" s="68"/>
      <c r="K121" s="68"/>
      <c r="L121" s="68"/>
      <c r="M121" s="68"/>
      <c r="N121" s="68"/>
      <c r="O121" s="68"/>
      <c r="P121" s="68"/>
      <c r="Q121" s="125"/>
      <c r="R121" s="68"/>
    </row>
    <row r="122" spans="1:18" ht="33.75" customHeight="1">
      <c r="A122" s="68"/>
      <c r="B122" s="68"/>
      <c r="C122" s="68"/>
      <c r="D122" s="68"/>
      <c r="E122" s="68"/>
      <c r="F122" s="68"/>
      <c r="G122" s="68"/>
      <c r="H122" s="68"/>
      <c r="I122" s="68"/>
      <c r="J122" s="68"/>
      <c r="K122" s="68"/>
      <c r="L122" s="68"/>
      <c r="M122" s="68"/>
      <c r="N122" s="68"/>
      <c r="O122" s="68"/>
      <c r="P122" s="68"/>
      <c r="Q122" s="125"/>
      <c r="R122" s="68"/>
    </row>
    <row r="123" spans="1:18" ht="33.75" customHeight="1">
      <c r="A123" s="68"/>
      <c r="B123" s="68"/>
      <c r="C123" s="68"/>
      <c r="D123" s="68"/>
      <c r="E123" s="68"/>
      <c r="F123" s="68"/>
      <c r="G123" s="68"/>
      <c r="H123" s="68"/>
      <c r="I123" s="68"/>
      <c r="J123" s="68"/>
      <c r="K123" s="68"/>
      <c r="L123" s="68"/>
      <c r="M123" s="68"/>
      <c r="N123" s="68"/>
      <c r="O123" s="68"/>
      <c r="P123" s="68"/>
      <c r="Q123" s="125"/>
      <c r="R123" s="68"/>
    </row>
    <row r="124" spans="1:18" ht="33.75" customHeight="1">
      <c r="A124" s="68"/>
      <c r="B124" s="68"/>
      <c r="C124" s="68"/>
      <c r="D124" s="68"/>
      <c r="E124" s="68"/>
      <c r="F124" s="68"/>
      <c r="G124" s="68"/>
      <c r="H124" s="68"/>
      <c r="I124" s="68"/>
      <c r="J124" s="68"/>
      <c r="K124" s="68"/>
      <c r="L124" s="68"/>
      <c r="M124" s="68"/>
      <c r="N124" s="68"/>
      <c r="O124" s="68"/>
      <c r="P124" s="68"/>
      <c r="Q124" s="125"/>
      <c r="R124" s="68"/>
    </row>
    <row r="125" spans="1:18" ht="33.75" customHeight="1">
      <c r="A125" s="68"/>
      <c r="B125" s="68"/>
      <c r="C125" s="68"/>
      <c r="D125" s="68"/>
      <c r="E125" s="68"/>
      <c r="F125" s="68"/>
      <c r="G125" s="68"/>
      <c r="H125" s="68"/>
      <c r="I125" s="68"/>
      <c r="J125" s="68"/>
      <c r="K125" s="68"/>
      <c r="L125" s="68"/>
      <c r="M125" s="68"/>
      <c r="N125" s="68"/>
      <c r="O125" s="68"/>
      <c r="P125" s="68"/>
      <c r="Q125" s="125"/>
      <c r="R125" s="68"/>
    </row>
    <row r="126" spans="1:18" ht="33.75" customHeight="1">
      <c r="A126" s="68"/>
      <c r="B126" s="68"/>
      <c r="C126" s="68"/>
      <c r="D126" s="68"/>
      <c r="E126" s="68"/>
      <c r="F126" s="68"/>
      <c r="G126" s="68"/>
      <c r="H126" s="68"/>
      <c r="I126" s="68"/>
      <c r="J126" s="68"/>
      <c r="K126" s="68"/>
      <c r="L126" s="68"/>
      <c r="M126" s="68"/>
      <c r="N126" s="68"/>
      <c r="O126" s="68"/>
      <c r="P126" s="68"/>
      <c r="Q126" s="125"/>
      <c r="R126" s="68"/>
    </row>
    <row r="127" spans="1:18" ht="33.75" customHeight="1">
      <c r="A127" s="68"/>
      <c r="B127" s="68"/>
      <c r="C127" s="68"/>
      <c r="D127" s="68"/>
      <c r="E127" s="68"/>
      <c r="F127" s="68"/>
      <c r="G127" s="68"/>
      <c r="H127" s="68"/>
      <c r="I127" s="68"/>
      <c r="J127" s="68"/>
      <c r="K127" s="68"/>
      <c r="L127" s="68"/>
      <c r="M127" s="68"/>
      <c r="N127" s="68"/>
      <c r="O127" s="68"/>
      <c r="P127" s="68"/>
      <c r="Q127" s="125"/>
      <c r="R127" s="68"/>
    </row>
    <row r="128" spans="1:18" ht="33.75" customHeight="1">
      <c r="A128" s="68"/>
      <c r="B128" s="68"/>
      <c r="C128" s="68"/>
      <c r="D128" s="68"/>
      <c r="E128" s="68"/>
      <c r="F128" s="68"/>
      <c r="G128" s="68"/>
      <c r="H128" s="68"/>
      <c r="I128" s="68"/>
      <c r="J128" s="68"/>
      <c r="K128" s="68"/>
      <c r="L128" s="68"/>
      <c r="M128" s="68"/>
      <c r="N128" s="68"/>
      <c r="O128" s="68"/>
      <c r="P128" s="68"/>
      <c r="Q128" s="125"/>
      <c r="R128" s="68"/>
    </row>
    <row r="129" spans="1:18" ht="33.75" customHeight="1">
      <c r="A129" s="68"/>
      <c r="B129" s="68"/>
      <c r="C129" s="68"/>
      <c r="D129" s="68"/>
      <c r="E129" s="68"/>
      <c r="F129" s="68"/>
      <c r="G129" s="68"/>
      <c r="H129" s="68"/>
      <c r="I129" s="68"/>
      <c r="J129" s="68"/>
      <c r="K129" s="68"/>
      <c r="L129" s="68"/>
      <c r="M129" s="68"/>
      <c r="N129" s="68"/>
      <c r="O129" s="68"/>
      <c r="P129" s="68"/>
      <c r="Q129" s="125"/>
      <c r="R129" s="68"/>
    </row>
    <row r="130" spans="1:18" ht="33.75" customHeight="1">
      <c r="A130" s="68"/>
      <c r="B130" s="68"/>
      <c r="C130" s="68"/>
      <c r="D130" s="68"/>
      <c r="E130" s="68"/>
      <c r="F130" s="68"/>
      <c r="G130" s="68"/>
      <c r="H130" s="68"/>
      <c r="I130" s="68"/>
      <c r="J130" s="68"/>
      <c r="K130" s="68"/>
      <c r="L130" s="68"/>
      <c r="M130" s="68"/>
      <c r="N130" s="68"/>
      <c r="O130" s="68"/>
      <c r="P130" s="68"/>
      <c r="Q130" s="125"/>
      <c r="R130" s="68"/>
    </row>
    <row r="131" spans="1:18" ht="33.75" customHeight="1">
      <c r="A131" s="68"/>
      <c r="B131" s="68"/>
      <c r="C131" s="68"/>
      <c r="D131" s="68"/>
      <c r="E131" s="68"/>
      <c r="F131" s="68"/>
      <c r="G131" s="68"/>
      <c r="H131" s="68"/>
      <c r="I131" s="68"/>
      <c r="J131" s="68"/>
      <c r="K131" s="68"/>
      <c r="L131" s="68"/>
      <c r="M131" s="68"/>
      <c r="N131" s="68"/>
      <c r="O131" s="68"/>
      <c r="P131" s="68"/>
      <c r="Q131" s="125"/>
      <c r="R131" s="68"/>
    </row>
    <row r="132" spans="1:18" ht="33.75" customHeight="1">
      <c r="A132" s="68"/>
      <c r="B132" s="68"/>
      <c r="C132" s="68"/>
      <c r="D132" s="68"/>
      <c r="E132" s="68"/>
      <c r="F132" s="68"/>
      <c r="G132" s="68"/>
      <c r="H132" s="68"/>
      <c r="I132" s="68"/>
      <c r="J132" s="68"/>
      <c r="K132" s="68"/>
      <c r="L132" s="68"/>
      <c r="M132" s="68"/>
      <c r="N132" s="68"/>
      <c r="O132" s="68"/>
      <c r="P132" s="68"/>
      <c r="Q132" s="125"/>
      <c r="R132" s="68"/>
    </row>
    <row r="133" spans="1:18" ht="33.75" customHeight="1">
      <c r="A133" s="68"/>
      <c r="B133" s="68"/>
      <c r="C133" s="68"/>
      <c r="D133" s="68"/>
      <c r="E133" s="68"/>
      <c r="F133" s="68"/>
      <c r="G133" s="68"/>
      <c r="H133" s="68"/>
      <c r="I133" s="68"/>
      <c r="J133" s="68"/>
      <c r="K133" s="68"/>
      <c r="L133" s="68"/>
      <c r="M133" s="68"/>
      <c r="N133" s="68"/>
      <c r="O133" s="68"/>
      <c r="P133" s="68"/>
      <c r="Q133" s="125"/>
      <c r="R133" s="68"/>
    </row>
    <row r="134" spans="1:18" ht="33.75" customHeight="1">
      <c r="A134" s="68"/>
      <c r="B134" s="68"/>
      <c r="C134" s="68"/>
      <c r="D134" s="68"/>
      <c r="E134" s="68"/>
      <c r="F134" s="68"/>
      <c r="G134" s="68"/>
      <c r="H134" s="68"/>
      <c r="I134" s="68"/>
      <c r="J134" s="68"/>
      <c r="K134" s="68"/>
      <c r="L134" s="68"/>
      <c r="M134" s="68"/>
      <c r="N134" s="68"/>
      <c r="O134" s="68"/>
      <c r="P134" s="68"/>
      <c r="Q134" s="125"/>
      <c r="R134" s="68"/>
    </row>
    <row r="135" spans="1:18" ht="33.75" customHeight="1">
      <c r="A135" s="68"/>
      <c r="B135" s="68"/>
      <c r="C135" s="68"/>
      <c r="D135" s="68"/>
      <c r="E135" s="68"/>
      <c r="F135" s="68"/>
      <c r="G135" s="68"/>
      <c r="H135" s="68"/>
      <c r="I135" s="68"/>
      <c r="J135" s="68"/>
      <c r="K135" s="68"/>
      <c r="L135" s="68"/>
      <c r="M135" s="68"/>
      <c r="N135" s="68"/>
      <c r="O135" s="68"/>
      <c r="P135" s="68"/>
      <c r="Q135" s="125"/>
      <c r="R135" s="68"/>
    </row>
    <row r="136" spans="1:18" ht="33.75" customHeight="1">
      <c r="A136" s="68"/>
      <c r="B136" s="68"/>
      <c r="C136" s="68"/>
      <c r="D136" s="68"/>
      <c r="E136" s="68"/>
      <c r="F136" s="68"/>
      <c r="G136" s="68"/>
      <c r="H136" s="68"/>
      <c r="I136" s="68"/>
      <c r="J136" s="68"/>
      <c r="K136" s="68"/>
      <c r="L136" s="68"/>
      <c r="M136" s="68"/>
      <c r="N136" s="68"/>
      <c r="O136" s="68"/>
      <c r="P136" s="68"/>
      <c r="Q136" s="125"/>
      <c r="R136" s="68"/>
    </row>
    <row r="137" spans="1:18" ht="33.75" customHeight="1">
      <c r="A137" s="68"/>
      <c r="B137" s="68"/>
      <c r="C137" s="68"/>
      <c r="D137" s="68"/>
      <c r="E137" s="68"/>
      <c r="F137" s="68"/>
      <c r="G137" s="68"/>
      <c r="H137" s="68"/>
      <c r="I137" s="68"/>
      <c r="J137" s="68"/>
      <c r="K137" s="68"/>
      <c r="L137" s="68"/>
      <c r="M137" s="68"/>
      <c r="N137" s="68"/>
      <c r="O137" s="68"/>
      <c r="P137" s="68"/>
      <c r="Q137" s="125"/>
      <c r="R137" s="68"/>
    </row>
    <row r="138" spans="1:18" ht="33.75" customHeight="1">
      <c r="A138" s="68"/>
      <c r="B138" s="68"/>
      <c r="C138" s="68"/>
      <c r="D138" s="68"/>
      <c r="E138" s="68"/>
      <c r="F138" s="68"/>
      <c r="G138" s="68"/>
      <c r="H138" s="68"/>
      <c r="I138" s="68"/>
      <c r="J138" s="68"/>
      <c r="K138" s="68"/>
      <c r="L138" s="68"/>
      <c r="M138" s="68"/>
      <c r="N138" s="68"/>
      <c r="O138" s="68"/>
      <c r="P138" s="68"/>
      <c r="Q138" s="125"/>
      <c r="R138" s="68"/>
    </row>
    <row r="139" spans="1:18" ht="33.75" customHeight="1">
      <c r="A139" s="68"/>
      <c r="B139" s="68"/>
      <c r="C139" s="68"/>
      <c r="D139" s="68"/>
      <c r="E139" s="68"/>
      <c r="F139" s="68"/>
      <c r="G139" s="68"/>
      <c r="H139" s="68"/>
      <c r="I139" s="68"/>
      <c r="J139" s="68"/>
      <c r="K139" s="68"/>
      <c r="L139" s="68"/>
      <c r="M139" s="68"/>
      <c r="N139" s="68"/>
      <c r="O139" s="68"/>
      <c r="P139" s="68"/>
      <c r="Q139" s="125"/>
      <c r="R139" s="68"/>
    </row>
    <row r="140" spans="1:18" ht="33.75" customHeight="1">
      <c r="A140" s="68"/>
      <c r="B140" s="68"/>
      <c r="C140" s="68"/>
      <c r="D140" s="68"/>
      <c r="E140" s="68"/>
      <c r="F140" s="68"/>
      <c r="G140" s="68"/>
      <c r="H140" s="68"/>
      <c r="I140" s="68"/>
      <c r="J140" s="68"/>
      <c r="K140" s="68"/>
      <c r="L140" s="68"/>
      <c r="M140" s="68"/>
      <c r="N140" s="68"/>
      <c r="O140" s="68"/>
      <c r="P140" s="68"/>
      <c r="Q140" s="125"/>
      <c r="R140" s="68"/>
    </row>
    <row r="141" spans="1:18" ht="33.75" customHeight="1">
      <c r="A141" s="68"/>
      <c r="B141" s="68"/>
      <c r="C141" s="68"/>
      <c r="D141" s="68"/>
      <c r="E141" s="68"/>
      <c r="F141" s="68"/>
      <c r="G141" s="68"/>
      <c r="H141" s="68"/>
      <c r="I141" s="68"/>
      <c r="J141" s="68"/>
      <c r="K141" s="68"/>
      <c r="L141" s="68"/>
      <c r="M141" s="68"/>
      <c r="N141" s="68"/>
      <c r="O141" s="68"/>
      <c r="P141" s="68"/>
      <c r="Q141" s="125"/>
      <c r="R141" s="68"/>
    </row>
    <row r="142" spans="1:18" ht="33.75" customHeight="1">
      <c r="A142" s="68"/>
      <c r="B142" s="68"/>
      <c r="C142" s="68"/>
      <c r="D142" s="68"/>
      <c r="E142" s="68"/>
      <c r="F142" s="68"/>
      <c r="G142" s="68"/>
      <c r="H142" s="68"/>
      <c r="I142" s="68"/>
      <c r="J142" s="68"/>
      <c r="K142" s="68"/>
      <c r="L142" s="68"/>
      <c r="M142" s="68"/>
      <c r="N142" s="68"/>
      <c r="O142" s="68"/>
      <c r="P142" s="68"/>
      <c r="Q142" s="125"/>
      <c r="R142" s="68"/>
    </row>
    <row r="143" spans="1:18" ht="33.75" customHeight="1">
      <c r="A143" s="68"/>
      <c r="B143" s="68"/>
      <c r="C143" s="68"/>
      <c r="D143" s="68"/>
      <c r="E143" s="68"/>
      <c r="F143" s="68"/>
      <c r="G143" s="68"/>
      <c r="H143" s="68"/>
      <c r="I143" s="68"/>
      <c r="J143" s="68"/>
      <c r="K143" s="68"/>
      <c r="L143" s="68"/>
      <c r="M143" s="68"/>
      <c r="N143" s="68"/>
      <c r="O143" s="68"/>
      <c r="P143" s="68"/>
      <c r="Q143" s="125"/>
      <c r="R143" s="68"/>
    </row>
    <row r="144" spans="1:18" ht="33.75" customHeight="1">
      <c r="A144" s="68"/>
      <c r="B144" s="68"/>
      <c r="C144" s="68"/>
      <c r="D144" s="68"/>
      <c r="E144" s="68"/>
      <c r="F144" s="68"/>
      <c r="G144" s="68"/>
      <c r="H144" s="68"/>
      <c r="I144" s="68"/>
      <c r="J144" s="68"/>
      <c r="K144" s="68"/>
      <c r="L144" s="68"/>
      <c r="M144" s="68"/>
      <c r="N144" s="68"/>
      <c r="O144" s="68"/>
      <c r="P144" s="68"/>
      <c r="Q144" s="125"/>
      <c r="R144" s="68"/>
    </row>
    <row r="145" spans="1:18" ht="33.75" customHeight="1">
      <c r="A145" s="68"/>
      <c r="B145" s="68"/>
      <c r="C145" s="68"/>
      <c r="D145" s="68"/>
      <c r="E145" s="68"/>
      <c r="F145" s="68"/>
      <c r="G145" s="68"/>
      <c r="H145" s="68"/>
      <c r="I145" s="68"/>
      <c r="J145" s="68"/>
      <c r="K145" s="68"/>
      <c r="L145" s="68"/>
      <c r="M145" s="68"/>
      <c r="N145" s="68"/>
      <c r="O145" s="68"/>
      <c r="P145" s="68"/>
      <c r="Q145" s="125"/>
      <c r="R145" s="68"/>
    </row>
    <row r="146" spans="1:18" ht="33.75" customHeight="1">
      <c r="A146" s="68"/>
      <c r="B146" s="68"/>
      <c r="C146" s="68"/>
      <c r="D146" s="68"/>
      <c r="E146" s="68"/>
      <c r="F146" s="68"/>
      <c r="G146" s="68"/>
      <c r="H146" s="68"/>
      <c r="I146" s="68"/>
      <c r="J146" s="68"/>
      <c r="K146" s="68"/>
      <c r="L146" s="68"/>
      <c r="M146" s="68"/>
      <c r="N146" s="68"/>
      <c r="O146" s="68"/>
      <c r="P146" s="68"/>
      <c r="Q146" s="125"/>
      <c r="R146" s="68"/>
    </row>
    <row r="147" spans="1:18" ht="33.75" customHeight="1">
      <c r="A147" s="68"/>
      <c r="B147" s="68"/>
      <c r="C147" s="68"/>
      <c r="D147" s="68"/>
      <c r="E147" s="68"/>
      <c r="F147" s="68"/>
      <c r="G147" s="68"/>
      <c r="H147" s="68"/>
      <c r="I147" s="68"/>
      <c r="J147" s="68"/>
      <c r="K147" s="68"/>
      <c r="L147" s="68"/>
      <c r="M147" s="68"/>
      <c r="N147" s="68"/>
      <c r="O147" s="68"/>
      <c r="P147" s="68"/>
      <c r="Q147" s="125"/>
      <c r="R147" s="68"/>
    </row>
    <row r="148" spans="1:18" ht="33.75" customHeight="1">
      <c r="A148" s="68"/>
      <c r="B148" s="68"/>
      <c r="C148" s="68"/>
      <c r="D148" s="68"/>
      <c r="E148" s="68"/>
      <c r="F148" s="68"/>
      <c r="G148" s="68"/>
      <c r="H148" s="68"/>
      <c r="I148" s="68"/>
      <c r="J148" s="68"/>
      <c r="K148" s="68"/>
      <c r="L148" s="68"/>
      <c r="M148" s="68"/>
      <c r="N148" s="68"/>
      <c r="O148" s="68"/>
      <c r="P148" s="68"/>
      <c r="Q148" s="125"/>
      <c r="R148" s="68"/>
    </row>
    <row r="149" spans="1:18" ht="33.75" customHeight="1">
      <c r="A149" s="68"/>
      <c r="B149" s="68"/>
      <c r="C149" s="68"/>
      <c r="D149" s="68"/>
      <c r="E149" s="68"/>
      <c r="F149" s="68"/>
      <c r="G149" s="68"/>
      <c r="H149" s="68"/>
      <c r="I149" s="68"/>
      <c r="J149" s="68"/>
      <c r="K149" s="68"/>
      <c r="L149" s="68"/>
      <c r="M149" s="68"/>
      <c r="N149" s="68"/>
      <c r="O149" s="68"/>
      <c r="P149" s="68"/>
      <c r="Q149" s="125"/>
      <c r="R149" s="68"/>
    </row>
    <row r="150" spans="1:18" ht="33.75" customHeight="1">
      <c r="A150" s="68"/>
      <c r="B150" s="68"/>
      <c r="C150" s="68"/>
      <c r="D150" s="68"/>
      <c r="E150" s="68"/>
      <c r="F150" s="68"/>
      <c r="G150" s="68"/>
      <c r="H150" s="68"/>
      <c r="I150" s="68"/>
      <c r="J150" s="68"/>
      <c r="K150" s="68"/>
      <c r="L150" s="68"/>
      <c r="M150" s="68"/>
      <c r="N150" s="68"/>
      <c r="O150" s="68"/>
      <c r="P150" s="68"/>
      <c r="Q150" s="125"/>
      <c r="R150" s="68"/>
    </row>
    <row r="151" spans="1:18" ht="33.75" customHeight="1">
      <c r="A151" s="68"/>
      <c r="B151" s="68"/>
      <c r="C151" s="68"/>
      <c r="D151" s="68"/>
      <c r="E151" s="68"/>
      <c r="F151" s="68"/>
      <c r="G151" s="68"/>
      <c r="H151" s="68"/>
      <c r="I151" s="68"/>
      <c r="J151" s="68"/>
      <c r="K151" s="68"/>
      <c r="L151" s="68"/>
      <c r="M151" s="68"/>
      <c r="N151" s="68"/>
      <c r="O151" s="68"/>
      <c r="P151" s="68"/>
      <c r="Q151" s="125"/>
      <c r="R151" s="68"/>
    </row>
    <row r="152" spans="1:18" ht="33.75" customHeight="1">
      <c r="A152" s="68"/>
      <c r="B152" s="68"/>
      <c r="C152" s="68"/>
      <c r="D152" s="68"/>
      <c r="E152" s="68"/>
      <c r="F152" s="68"/>
      <c r="G152" s="68"/>
      <c r="H152" s="68"/>
      <c r="I152" s="68"/>
      <c r="J152" s="68"/>
      <c r="K152" s="68"/>
      <c r="L152" s="68"/>
      <c r="M152" s="68"/>
      <c r="N152" s="68"/>
      <c r="O152" s="68"/>
      <c r="P152" s="68"/>
      <c r="Q152" s="125"/>
      <c r="R152" s="68"/>
    </row>
    <row r="153" spans="1:18" ht="33.75" customHeight="1">
      <c r="A153" s="68"/>
      <c r="B153" s="68"/>
      <c r="C153" s="68"/>
      <c r="D153" s="68"/>
      <c r="E153" s="68"/>
      <c r="F153" s="68"/>
      <c r="G153" s="68"/>
      <c r="H153" s="68"/>
      <c r="I153" s="68"/>
      <c r="J153" s="68"/>
      <c r="K153" s="68"/>
      <c r="L153" s="68"/>
      <c r="M153" s="68"/>
      <c r="N153" s="68"/>
      <c r="O153" s="68"/>
      <c r="P153" s="68"/>
      <c r="Q153" s="125"/>
      <c r="R153" s="68"/>
    </row>
    <row r="154" spans="1:18" ht="33.75" customHeight="1">
      <c r="A154" s="68"/>
      <c r="B154" s="68"/>
      <c r="C154" s="68"/>
      <c r="D154" s="68"/>
      <c r="E154" s="68"/>
      <c r="F154" s="68"/>
      <c r="G154" s="68"/>
      <c r="H154" s="68"/>
      <c r="I154" s="68"/>
      <c r="J154" s="68"/>
      <c r="K154" s="68"/>
      <c r="L154" s="68"/>
      <c r="M154" s="68"/>
      <c r="N154" s="68"/>
      <c r="O154" s="68"/>
      <c r="P154" s="68"/>
      <c r="Q154" s="125"/>
      <c r="R154" s="68"/>
    </row>
    <row r="155" spans="1:18" ht="33.75" customHeight="1">
      <c r="A155" s="68"/>
      <c r="B155" s="68"/>
      <c r="C155" s="68"/>
      <c r="D155" s="68"/>
      <c r="E155" s="68"/>
      <c r="F155" s="68"/>
      <c r="G155" s="68"/>
      <c r="H155" s="68"/>
      <c r="I155" s="68"/>
      <c r="J155" s="68"/>
      <c r="K155" s="68"/>
      <c r="L155" s="68"/>
      <c r="M155" s="68"/>
      <c r="N155" s="68"/>
      <c r="O155" s="68"/>
      <c r="P155" s="68"/>
      <c r="Q155" s="125"/>
      <c r="R155" s="68"/>
    </row>
    <row r="156" spans="1:18" ht="33.75" customHeight="1">
      <c r="A156" s="68"/>
      <c r="B156" s="68"/>
      <c r="C156" s="68"/>
      <c r="D156" s="68"/>
      <c r="E156" s="68"/>
      <c r="F156" s="68"/>
      <c r="G156" s="68"/>
      <c r="H156" s="68"/>
      <c r="I156" s="68"/>
      <c r="J156" s="68"/>
      <c r="K156" s="68"/>
      <c r="L156" s="68"/>
      <c r="M156" s="68"/>
      <c r="N156" s="68"/>
      <c r="O156" s="68"/>
      <c r="P156" s="68"/>
      <c r="Q156" s="125"/>
      <c r="R156" s="68"/>
    </row>
    <row r="157" spans="1:18" ht="33.75" customHeight="1">
      <c r="A157" s="68"/>
      <c r="B157" s="68"/>
      <c r="C157" s="68"/>
      <c r="D157" s="68"/>
      <c r="E157" s="68"/>
      <c r="F157" s="68"/>
      <c r="G157" s="68"/>
      <c r="H157" s="68"/>
      <c r="I157" s="68"/>
      <c r="J157" s="68"/>
      <c r="K157" s="68"/>
      <c r="L157" s="68"/>
      <c r="M157" s="68"/>
      <c r="N157" s="68"/>
      <c r="O157" s="68"/>
      <c r="P157" s="68"/>
      <c r="Q157" s="125"/>
      <c r="R157" s="68"/>
    </row>
    <row r="158" spans="1:18" ht="33.75" customHeight="1">
      <c r="A158" s="68"/>
      <c r="B158" s="68"/>
      <c r="C158" s="68"/>
      <c r="D158" s="68"/>
      <c r="E158" s="68"/>
      <c r="F158" s="68"/>
      <c r="G158" s="68"/>
      <c r="H158" s="68"/>
      <c r="I158" s="68"/>
      <c r="J158" s="68"/>
      <c r="K158" s="68"/>
      <c r="L158" s="68"/>
      <c r="M158" s="68"/>
      <c r="N158" s="68"/>
      <c r="O158" s="68"/>
      <c r="P158" s="68"/>
      <c r="Q158" s="125"/>
      <c r="R158" s="68"/>
    </row>
    <row r="159" spans="1:18" ht="33.75" customHeight="1">
      <c r="A159" s="68"/>
      <c r="B159" s="68"/>
      <c r="C159" s="68"/>
      <c r="D159" s="68"/>
      <c r="E159" s="68"/>
      <c r="F159" s="68"/>
      <c r="G159" s="68"/>
      <c r="H159" s="68"/>
      <c r="I159" s="68"/>
      <c r="J159" s="68"/>
      <c r="K159" s="68"/>
      <c r="L159" s="68"/>
      <c r="M159" s="68"/>
      <c r="N159" s="68"/>
      <c r="O159" s="68"/>
      <c r="P159" s="68"/>
      <c r="Q159" s="125"/>
      <c r="R159" s="68"/>
    </row>
    <row r="160" spans="1:18" ht="33.75" customHeight="1">
      <c r="A160" s="68"/>
      <c r="B160" s="68"/>
      <c r="C160" s="68"/>
      <c r="D160" s="68"/>
      <c r="E160" s="68"/>
      <c r="F160" s="68"/>
      <c r="G160" s="68"/>
      <c r="H160" s="68"/>
      <c r="I160" s="68"/>
      <c r="J160" s="68"/>
      <c r="K160" s="68"/>
      <c r="L160" s="68"/>
      <c r="M160" s="68"/>
      <c r="N160" s="68"/>
      <c r="O160" s="68"/>
      <c r="P160" s="68"/>
      <c r="Q160" s="125"/>
      <c r="R160" s="68"/>
    </row>
    <row r="161" spans="1:18" ht="33.75" customHeight="1">
      <c r="A161" s="68"/>
      <c r="B161" s="68"/>
      <c r="C161" s="68"/>
      <c r="D161" s="68"/>
      <c r="E161" s="68"/>
      <c r="F161" s="68"/>
      <c r="G161" s="68"/>
      <c r="H161" s="68"/>
      <c r="I161" s="68"/>
      <c r="J161" s="68"/>
      <c r="K161" s="68"/>
      <c r="L161" s="68"/>
      <c r="M161" s="68"/>
      <c r="N161" s="68"/>
      <c r="O161" s="68"/>
      <c r="P161" s="68"/>
      <c r="Q161" s="125"/>
      <c r="R161" s="68"/>
    </row>
    <row r="162" spans="1:18" ht="33.75" customHeight="1">
      <c r="A162" s="68"/>
      <c r="B162" s="68"/>
      <c r="C162" s="68"/>
      <c r="D162" s="68"/>
      <c r="E162" s="68"/>
      <c r="F162" s="68"/>
      <c r="G162" s="68"/>
      <c r="H162" s="68"/>
      <c r="I162" s="68"/>
      <c r="J162" s="68"/>
      <c r="K162" s="68"/>
      <c r="L162" s="68"/>
      <c r="M162" s="68"/>
      <c r="N162" s="68"/>
      <c r="O162" s="68"/>
      <c r="P162" s="68"/>
      <c r="Q162" s="125"/>
      <c r="R162" s="68"/>
    </row>
    <row r="163" spans="1:18" ht="33.75" customHeight="1">
      <c r="A163" s="68"/>
      <c r="B163" s="68"/>
      <c r="C163" s="68"/>
      <c r="D163" s="68"/>
      <c r="E163" s="68"/>
      <c r="F163" s="68"/>
      <c r="G163" s="68"/>
      <c r="H163" s="68"/>
      <c r="I163" s="68"/>
      <c r="J163" s="68"/>
      <c r="K163" s="68"/>
      <c r="L163" s="68"/>
      <c r="M163" s="68"/>
      <c r="N163" s="68"/>
      <c r="O163" s="68"/>
      <c r="P163" s="68"/>
      <c r="Q163" s="125"/>
      <c r="R163" s="68"/>
    </row>
    <row r="164" spans="1:18" ht="33.75" customHeight="1">
      <c r="A164" s="68"/>
      <c r="B164" s="68"/>
      <c r="C164" s="68"/>
      <c r="D164" s="68"/>
      <c r="E164" s="68"/>
      <c r="F164" s="68"/>
      <c r="G164" s="68"/>
      <c r="H164" s="68"/>
      <c r="I164" s="68"/>
      <c r="J164" s="68"/>
      <c r="K164" s="68"/>
      <c r="L164" s="68"/>
      <c r="M164" s="68"/>
      <c r="N164" s="68"/>
      <c r="O164" s="68"/>
      <c r="P164" s="68"/>
      <c r="Q164" s="125"/>
      <c r="R164" s="68"/>
    </row>
    <row r="165" spans="1:18" ht="33.75" customHeight="1">
      <c r="A165" s="68"/>
      <c r="B165" s="68"/>
      <c r="C165" s="68"/>
      <c r="D165" s="68"/>
      <c r="E165" s="68"/>
      <c r="F165" s="68"/>
      <c r="G165" s="68"/>
      <c r="H165" s="68"/>
      <c r="I165" s="68"/>
      <c r="J165" s="68"/>
      <c r="K165" s="68"/>
      <c r="L165" s="68"/>
      <c r="M165" s="68"/>
      <c r="N165" s="68"/>
      <c r="O165" s="68"/>
      <c r="P165" s="68"/>
      <c r="Q165" s="125"/>
      <c r="R165" s="68"/>
    </row>
    <row r="166" spans="1:18" ht="33.75" customHeight="1">
      <c r="A166" s="68"/>
      <c r="B166" s="68"/>
      <c r="C166" s="68"/>
      <c r="D166" s="68"/>
      <c r="E166" s="68"/>
      <c r="F166" s="68"/>
      <c r="G166" s="68"/>
      <c r="H166" s="68"/>
      <c r="I166" s="68"/>
      <c r="J166" s="68"/>
      <c r="K166" s="68"/>
      <c r="L166" s="68"/>
      <c r="M166" s="68"/>
      <c r="N166" s="68"/>
      <c r="O166" s="68"/>
      <c r="P166" s="68"/>
      <c r="Q166" s="125"/>
      <c r="R166" s="68"/>
    </row>
    <row r="167" spans="1:18" ht="33.75" customHeight="1">
      <c r="A167" s="68"/>
      <c r="B167" s="68"/>
      <c r="C167" s="68"/>
      <c r="D167" s="68"/>
      <c r="E167" s="68"/>
      <c r="F167" s="68"/>
      <c r="G167" s="68"/>
      <c r="H167" s="68"/>
      <c r="I167" s="68"/>
      <c r="J167" s="68"/>
      <c r="K167" s="68"/>
      <c r="L167" s="68"/>
      <c r="M167" s="68"/>
      <c r="N167" s="68"/>
      <c r="O167" s="68"/>
      <c r="P167" s="68"/>
      <c r="Q167" s="125"/>
      <c r="R167" s="68"/>
    </row>
    <row r="168" spans="1:18" ht="33.75" customHeight="1">
      <c r="A168" s="68"/>
      <c r="B168" s="68"/>
      <c r="C168" s="68"/>
      <c r="D168" s="68"/>
      <c r="E168" s="68"/>
      <c r="F168" s="68"/>
      <c r="G168" s="68"/>
      <c r="H168" s="68"/>
      <c r="I168" s="68"/>
      <c r="J168" s="68"/>
      <c r="K168" s="68"/>
      <c r="L168" s="68"/>
      <c r="M168" s="68"/>
      <c r="N168" s="68"/>
      <c r="O168" s="68"/>
      <c r="P168" s="68"/>
      <c r="Q168" s="125"/>
      <c r="R168" s="68"/>
    </row>
    <row r="169" spans="1:18" ht="33.75" customHeight="1">
      <c r="A169" s="68"/>
      <c r="B169" s="68"/>
      <c r="C169" s="68"/>
      <c r="D169" s="68"/>
      <c r="E169" s="68"/>
      <c r="F169" s="68"/>
      <c r="G169" s="68"/>
      <c r="H169" s="68"/>
      <c r="I169" s="68"/>
      <c r="J169" s="68"/>
      <c r="K169" s="68"/>
      <c r="L169" s="68"/>
      <c r="M169" s="68"/>
      <c r="N169" s="68"/>
      <c r="O169" s="68"/>
      <c r="P169" s="68"/>
      <c r="Q169" s="125"/>
      <c r="R169" s="68"/>
    </row>
    <row r="170" spans="1:18" ht="33.75" customHeight="1">
      <c r="A170" s="68"/>
      <c r="B170" s="68"/>
      <c r="C170" s="68"/>
      <c r="D170" s="68"/>
      <c r="E170" s="68"/>
      <c r="F170" s="68"/>
      <c r="G170" s="68"/>
      <c r="H170" s="68"/>
      <c r="I170" s="68"/>
      <c r="J170" s="68"/>
      <c r="K170" s="68"/>
      <c r="L170" s="68"/>
      <c r="M170" s="68"/>
      <c r="N170" s="68"/>
      <c r="O170" s="68"/>
      <c r="P170" s="68"/>
      <c r="Q170" s="125"/>
      <c r="R170" s="68"/>
    </row>
    <row r="171" spans="1:18" ht="33.75" customHeight="1">
      <c r="A171" s="68"/>
      <c r="B171" s="68"/>
      <c r="C171" s="68"/>
      <c r="D171" s="68"/>
      <c r="E171" s="68"/>
      <c r="F171" s="68"/>
      <c r="G171" s="68"/>
      <c r="H171" s="68"/>
      <c r="I171" s="68"/>
      <c r="J171" s="68"/>
      <c r="K171" s="68"/>
      <c r="L171" s="68"/>
      <c r="M171" s="68"/>
      <c r="N171" s="68"/>
      <c r="O171" s="68"/>
      <c r="P171" s="68"/>
      <c r="Q171" s="125"/>
      <c r="R171" s="68"/>
    </row>
    <row r="172" spans="1:18" ht="33.75" customHeight="1">
      <c r="A172" s="68"/>
      <c r="B172" s="68"/>
      <c r="C172" s="68"/>
      <c r="D172" s="68"/>
      <c r="E172" s="68"/>
      <c r="F172" s="68"/>
      <c r="G172" s="68"/>
      <c r="H172" s="68"/>
      <c r="I172" s="68"/>
      <c r="J172" s="68"/>
      <c r="K172" s="68"/>
      <c r="L172" s="68"/>
      <c r="M172" s="68"/>
      <c r="N172" s="68"/>
      <c r="O172" s="68"/>
      <c r="P172" s="68"/>
      <c r="Q172" s="125"/>
      <c r="R172" s="68"/>
    </row>
    <row r="173" spans="1:18" ht="33.75" customHeight="1">
      <c r="A173" s="68"/>
      <c r="B173" s="68"/>
      <c r="C173" s="68"/>
      <c r="D173" s="68"/>
      <c r="E173" s="68"/>
      <c r="F173" s="68"/>
      <c r="G173" s="68"/>
      <c r="H173" s="68"/>
      <c r="I173" s="68"/>
      <c r="J173" s="68"/>
      <c r="K173" s="68"/>
      <c r="L173" s="68"/>
      <c r="M173" s="68"/>
      <c r="N173" s="68"/>
      <c r="O173" s="68"/>
      <c r="P173" s="68"/>
      <c r="Q173" s="125"/>
      <c r="R173" s="68"/>
    </row>
    <row r="174" spans="1:18" ht="33.75" customHeight="1">
      <c r="A174" s="68"/>
      <c r="B174" s="68"/>
      <c r="C174" s="68"/>
      <c r="D174" s="68"/>
      <c r="E174" s="68"/>
      <c r="F174" s="68"/>
      <c r="G174" s="68"/>
      <c r="H174" s="68"/>
      <c r="I174" s="68"/>
      <c r="J174" s="68"/>
      <c r="K174" s="68"/>
      <c r="L174" s="68"/>
      <c r="M174" s="68"/>
      <c r="N174" s="68"/>
      <c r="O174" s="68"/>
      <c r="P174" s="68"/>
      <c r="Q174" s="125"/>
      <c r="R174" s="68"/>
    </row>
    <row r="175" spans="1:18" ht="33.75" customHeight="1">
      <c r="A175" s="68"/>
      <c r="B175" s="68"/>
      <c r="C175" s="68"/>
      <c r="D175" s="68"/>
      <c r="E175" s="68"/>
      <c r="F175" s="68"/>
      <c r="G175" s="68"/>
      <c r="H175" s="68"/>
      <c r="I175" s="68"/>
      <c r="J175" s="68"/>
      <c r="K175" s="68"/>
      <c r="L175" s="68"/>
      <c r="M175" s="68"/>
      <c r="N175" s="68"/>
      <c r="O175" s="68"/>
      <c r="P175" s="68"/>
      <c r="Q175" s="125"/>
      <c r="R175" s="68"/>
    </row>
    <row r="176" spans="1:18" ht="33.75" customHeight="1">
      <c r="A176" s="68"/>
      <c r="B176" s="68"/>
      <c r="C176" s="68"/>
      <c r="D176" s="68"/>
      <c r="E176" s="68"/>
      <c r="F176" s="68"/>
      <c r="G176" s="68"/>
      <c r="H176" s="68"/>
      <c r="I176" s="68"/>
      <c r="J176" s="68"/>
      <c r="K176" s="68"/>
      <c r="L176" s="68"/>
      <c r="M176" s="68"/>
      <c r="N176" s="68"/>
      <c r="O176" s="68"/>
      <c r="P176" s="68"/>
      <c r="Q176" s="125"/>
      <c r="R176" s="68"/>
    </row>
    <row r="177" spans="1:18" ht="33.75" customHeight="1">
      <c r="A177" s="68"/>
      <c r="B177" s="68"/>
      <c r="C177" s="68"/>
      <c r="D177" s="68"/>
      <c r="E177" s="68"/>
      <c r="F177" s="68"/>
      <c r="G177" s="68"/>
      <c r="H177" s="68"/>
      <c r="I177" s="68"/>
      <c r="J177" s="68"/>
      <c r="K177" s="68"/>
      <c r="L177" s="68"/>
      <c r="M177" s="68"/>
      <c r="N177" s="68"/>
      <c r="O177" s="68"/>
      <c r="P177" s="68"/>
      <c r="Q177" s="125"/>
      <c r="R177" s="68"/>
    </row>
    <row r="178" spans="1:18" ht="33.75" customHeight="1">
      <c r="A178" s="68"/>
      <c r="B178" s="68"/>
      <c r="C178" s="68"/>
      <c r="D178" s="68"/>
      <c r="E178" s="68"/>
      <c r="F178" s="68"/>
      <c r="G178" s="68"/>
      <c r="H178" s="68"/>
      <c r="I178" s="68"/>
      <c r="J178" s="68"/>
      <c r="K178" s="68"/>
      <c r="L178" s="68"/>
      <c r="M178" s="68"/>
      <c r="N178" s="68"/>
      <c r="O178" s="68"/>
      <c r="P178" s="68"/>
      <c r="Q178" s="125"/>
      <c r="R178" s="68"/>
    </row>
    <row r="179" spans="1:18" ht="33.75" customHeight="1">
      <c r="A179" s="68"/>
      <c r="B179" s="68"/>
      <c r="C179" s="68"/>
      <c r="D179" s="68"/>
      <c r="E179" s="68"/>
      <c r="F179" s="68"/>
      <c r="G179" s="68"/>
      <c r="H179" s="68"/>
      <c r="I179" s="68"/>
      <c r="J179" s="68"/>
      <c r="K179" s="68"/>
      <c r="L179" s="68"/>
      <c r="M179" s="68"/>
      <c r="N179" s="68"/>
      <c r="O179" s="68"/>
      <c r="P179" s="68"/>
      <c r="Q179" s="125"/>
      <c r="R179" s="68"/>
    </row>
    <row r="180" spans="1:18" ht="33.75" customHeight="1">
      <c r="A180" s="68"/>
      <c r="B180" s="68"/>
      <c r="C180" s="68"/>
      <c r="D180" s="68"/>
      <c r="E180" s="68"/>
      <c r="F180" s="68"/>
      <c r="G180" s="68"/>
      <c r="H180" s="68"/>
      <c r="I180" s="68"/>
      <c r="J180" s="68"/>
      <c r="K180" s="68"/>
      <c r="L180" s="68"/>
      <c r="M180" s="68"/>
      <c r="N180" s="68"/>
      <c r="O180" s="68"/>
      <c r="P180" s="68"/>
      <c r="Q180" s="125"/>
      <c r="R180" s="68"/>
    </row>
    <row r="181" spans="1:18" ht="33.75" customHeight="1">
      <c r="A181" s="68"/>
      <c r="B181" s="68"/>
      <c r="C181" s="68"/>
      <c r="D181" s="68"/>
      <c r="E181" s="68"/>
      <c r="F181" s="68"/>
      <c r="G181" s="68"/>
      <c r="H181" s="68"/>
      <c r="I181" s="68"/>
      <c r="J181" s="68"/>
      <c r="K181" s="68"/>
      <c r="L181" s="68"/>
      <c r="M181" s="68"/>
      <c r="N181" s="68"/>
      <c r="O181" s="68"/>
      <c r="P181" s="68"/>
      <c r="Q181" s="125"/>
      <c r="R181" s="68"/>
    </row>
    <row r="182" spans="1:18" ht="33.75" customHeight="1">
      <c r="A182" s="68"/>
      <c r="B182" s="68"/>
      <c r="C182" s="68"/>
      <c r="D182" s="68"/>
      <c r="E182" s="68"/>
      <c r="F182" s="68"/>
      <c r="G182" s="68"/>
      <c r="H182" s="68"/>
      <c r="I182" s="68"/>
      <c r="J182" s="68"/>
      <c r="K182" s="68"/>
      <c r="L182" s="68"/>
      <c r="M182" s="68"/>
      <c r="N182" s="68"/>
      <c r="O182" s="68"/>
      <c r="P182" s="68"/>
      <c r="Q182" s="125"/>
      <c r="R182" s="68"/>
    </row>
    <row r="183" spans="1:18" ht="33.75" customHeight="1">
      <c r="A183" s="68"/>
      <c r="B183" s="68"/>
      <c r="C183" s="68"/>
      <c r="D183" s="68"/>
      <c r="E183" s="68"/>
      <c r="F183" s="68"/>
      <c r="G183" s="68"/>
      <c r="H183" s="68"/>
      <c r="I183" s="68"/>
      <c r="J183" s="68"/>
      <c r="K183" s="68"/>
      <c r="L183" s="68"/>
      <c r="M183" s="68"/>
      <c r="N183" s="68"/>
      <c r="O183" s="68"/>
      <c r="P183" s="68"/>
      <c r="Q183" s="125"/>
      <c r="R183" s="68"/>
    </row>
    <row r="184" spans="1:18" ht="33.75" customHeight="1">
      <c r="A184" s="68"/>
      <c r="B184" s="68"/>
      <c r="C184" s="68"/>
      <c r="D184" s="68"/>
      <c r="E184" s="68"/>
      <c r="F184" s="68"/>
      <c r="G184" s="68"/>
      <c r="H184" s="68"/>
      <c r="I184" s="68"/>
      <c r="J184" s="68"/>
      <c r="K184" s="68"/>
      <c r="L184" s="68"/>
      <c r="M184" s="68"/>
      <c r="N184" s="68"/>
      <c r="O184" s="68"/>
      <c r="P184" s="68"/>
      <c r="Q184" s="125"/>
      <c r="R184" s="68"/>
    </row>
    <row r="185" spans="1:18" ht="33.75" customHeight="1">
      <c r="A185" s="68"/>
      <c r="B185" s="68"/>
      <c r="C185" s="68"/>
      <c r="D185" s="68"/>
      <c r="E185" s="68"/>
      <c r="F185" s="68"/>
      <c r="G185" s="68"/>
      <c r="H185" s="68"/>
      <c r="I185" s="68"/>
      <c r="J185" s="68"/>
      <c r="K185" s="68"/>
      <c r="L185" s="68"/>
      <c r="M185" s="68"/>
      <c r="N185" s="68"/>
      <c r="O185" s="68"/>
      <c r="P185" s="68"/>
      <c r="Q185" s="125"/>
      <c r="R185" s="68"/>
    </row>
    <row r="186" spans="1:18" ht="33.75" customHeight="1">
      <c r="A186" s="68"/>
      <c r="B186" s="68"/>
      <c r="C186" s="68"/>
      <c r="D186" s="68"/>
      <c r="E186" s="68"/>
      <c r="F186" s="68"/>
      <c r="G186" s="68"/>
      <c r="H186" s="68"/>
      <c r="I186" s="68"/>
      <c r="J186" s="68"/>
      <c r="K186" s="68"/>
      <c r="L186" s="68"/>
      <c r="M186" s="68"/>
      <c r="N186" s="68"/>
      <c r="O186" s="68"/>
      <c r="P186" s="68"/>
      <c r="Q186" s="125"/>
      <c r="R186" s="68"/>
    </row>
    <row r="187" spans="1:18" ht="33.75" customHeight="1">
      <c r="A187" s="68"/>
      <c r="B187" s="68"/>
      <c r="C187" s="68"/>
      <c r="D187" s="68"/>
      <c r="E187" s="68"/>
      <c r="F187" s="68"/>
      <c r="G187" s="68"/>
      <c r="H187" s="68"/>
      <c r="I187" s="68"/>
      <c r="J187" s="68"/>
      <c r="K187" s="68"/>
      <c r="L187" s="68"/>
      <c r="M187" s="68"/>
      <c r="N187" s="68"/>
      <c r="O187" s="68"/>
      <c r="P187" s="68"/>
      <c r="Q187" s="125"/>
      <c r="R187" s="68"/>
    </row>
    <row r="188" spans="1:18" ht="33.75" customHeight="1">
      <c r="A188" s="68"/>
      <c r="B188" s="68"/>
      <c r="C188" s="68"/>
      <c r="D188" s="68"/>
      <c r="E188" s="68"/>
      <c r="F188" s="68"/>
      <c r="G188" s="68"/>
      <c r="H188" s="68"/>
      <c r="I188" s="68"/>
      <c r="J188" s="68"/>
      <c r="K188" s="68"/>
      <c r="L188" s="68"/>
      <c r="M188" s="68"/>
      <c r="N188" s="68"/>
      <c r="O188" s="68"/>
      <c r="P188" s="68"/>
      <c r="Q188" s="125"/>
      <c r="R188" s="68"/>
    </row>
    <row r="189" spans="1:18" ht="33.75" customHeight="1">
      <c r="A189" s="68"/>
      <c r="B189" s="68"/>
      <c r="C189" s="68"/>
      <c r="D189" s="68"/>
      <c r="E189" s="68"/>
      <c r="F189" s="68"/>
      <c r="G189" s="68"/>
      <c r="H189" s="68"/>
      <c r="I189" s="68"/>
      <c r="J189" s="68"/>
      <c r="K189" s="68"/>
      <c r="L189" s="68"/>
      <c r="M189" s="68"/>
      <c r="N189" s="68"/>
      <c r="O189" s="68"/>
      <c r="P189" s="68"/>
      <c r="Q189" s="125"/>
      <c r="R189" s="68"/>
    </row>
    <row r="190" spans="1:18" ht="33.75" customHeight="1">
      <c r="A190" s="68"/>
      <c r="B190" s="68"/>
      <c r="C190" s="68"/>
      <c r="D190" s="68"/>
      <c r="E190" s="68"/>
      <c r="F190" s="68"/>
      <c r="G190" s="68"/>
      <c r="H190" s="68"/>
      <c r="I190" s="68"/>
      <c r="J190" s="68"/>
      <c r="K190" s="68"/>
      <c r="L190" s="68"/>
      <c r="M190" s="68"/>
      <c r="N190" s="68"/>
      <c r="O190" s="68"/>
      <c r="P190" s="68"/>
      <c r="Q190" s="125"/>
      <c r="R190" s="68"/>
    </row>
    <row r="191" spans="1:18" ht="33.75" customHeight="1">
      <c r="A191" s="68"/>
      <c r="B191" s="68"/>
      <c r="C191" s="68"/>
      <c r="D191" s="68"/>
      <c r="E191" s="68"/>
      <c r="F191" s="68"/>
      <c r="G191" s="68"/>
      <c r="H191" s="68"/>
      <c r="I191" s="68"/>
      <c r="J191" s="68"/>
      <c r="K191" s="68"/>
      <c r="L191" s="68"/>
      <c r="M191" s="68"/>
      <c r="N191" s="68"/>
      <c r="O191" s="68"/>
      <c r="P191" s="68"/>
      <c r="Q191" s="125"/>
      <c r="R191" s="68"/>
    </row>
    <row r="192" spans="1:18" ht="33.75" customHeight="1">
      <c r="A192" s="68"/>
      <c r="B192" s="68"/>
      <c r="C192" s="68"/>
      <c r="D192" s="68"/>
      <c r="E192" s="68"/>
      <c r="F192" s="68"/>
      <c r="G192" s="68"/>
      <c r="H192" s="68"/>
      <c r="I192" s="68"/>
      <c r="J192" s="68"/>
      <c r="K192" s="68"/>
      <c r="L192" s="68"/>
      <c r="M192" s="68"/>
      <c r="N192" s="68"/>
      <c r="O192" s="68"/>
      <c r="P192" s="68"/>
      <c r="Q192" s="125"/>
      <c r="R192" s="68"/>
    </row>
    <row r="193" spans="1:18" ht="33.75" customHeight="1">
      <c r="A193" s="68"/>
      <c r="B193" s="68"/>
      <c r="C193" s="68"/>
      <c r="D193" s="68"/>
      <c r="E193" s="68"/>
      <c r="F193" s="68"/>
      <c r="G193" s="68"/>
      <c r="H193" s="68"/>
      <c r="I193" s="68"/>
      <c r="J193" s="68"/>
      <c r="K193" s="68"/>
      <c r="L193" s="68"/>
      <c r="M193" s="68"/>
      <c r="N193" s="68"/>
      <c r="O193" s="68"/>
      <c r="P193" s="68"/>
      <c r="Q193" s="125"/>
      <c r="R193" s="68"/>
    </row>
    <row r="194" spans="1:18" ht="33.75" customHeight="1">
      <c r="A194" s="68"/>
      <c r="B194" s="68"/>
      <c r="C194" s="68"/>
      <c r="D194" s="68"/>
      <c r="E194" s="68"/>
      <c r="F194" s="68"/>
      <c r="G194" s="68"/>
      <c r="H194" s="68"/>
      <c r="I194" s="68"/>
      <c r="J194" s="68"/>
      <c r="K194" s="68"/>
      <c r="L194" s="68"/>
      <c r="M194" s="68"/>
      <c r="N194" s="68"/>
      <c r="O194" s="68"/>
      <c r="P194" s="68"/>
      <c r="Q194" s="125"/>
      <c r="R194" s="68"/>
    </row>
    <row r="195" spans="1:18" ht="33.75" customHeight="1">
      <c r="A195" s="68"/>
      <c r="B195" s="68"/>
      <c r="C195" s="68"/>
      <c r="D195" s="68"/>
      <c r="E195" s="68"/>
      <c r="F195" s="68"/>
      <c r="G195" s="68"/>
      <c r="H195" s="68"/>
      <c r="I195" s="68"/>
      <c r="J195" s="68"/>
      <c r="K195" s="68"/>
      <c r="L195" s="68"/>
      <c r="M195" s="68"/>
      <c r="N195" s="68"/>
      <c r="O195" s="68"/>
      <c r="P195" s="68"/>
      <c r="Q195" s="125"/>
      <c r="R195" s="68"/>
    </row>
    <row r="196" spans="1:18" ht="33.75" customHeight="1">
      <c r="A196" s="68"/>
      <c r="B196" s="68"/>
      <c r="C196" s="68"/>
      <c r="D196" s="68"/>
      <c r="E196" s="68"/>
      <c r="F196" s="68"/>
      <c r="G196" s="68"/>
      <c r="H196" s="68"/>
      <c r="I196" s="68"/>
      <c r="J196" s="68"/>
      <c r="K196" s="68"/>
      <c r="L196" s="68"/>
      <c r="M196" s="68"/>
      <c r="N196" s="68"/>
      <c r="O196" s="68"/>
      <c r="P196" s="68"/>
      <c r="Q196" s="125"/>
      <c r="R196" s="68"/>
    </row>
    <row r="197" spans="1:18" ht="33.75" customHeight="1">
      <c r="A197" s="68"/>
      <c r="B197" s="68"/>
      <c r="C197" s="68"/>
      <c r="D197" s="68"/>
      <c r="E197" s="68"/>
      <c r="F197" s="68"/>
      <c r="G197" s="68"/>
      <c r="H197" s="68"/>
      <c r="I197" s="68"/>
      <c r="J197" s="68"/>
      <c r="K197" s="68"/>
      <c r="L197" s="68"/>
      <c r="M197" s="68"/>
      <c r="N197" s="68"/>
      <c r="O197" s="68"/>
      <c r="P197" s="68"/>
      <c r="Q197" s="125"/>
      <c r="R197" s="68"/>
    </row>
    <row r="198" spans="1:18" ht="33.75" customHeight="1">
      <c r="A198" s="68"/>
      <c r="B198" s="68"/>
      <c r="C198" s="68"/>
      <c r="D198" s="68"/>
      <c r="E198" s="68"/>
      <c r="F198" s="68"/>
      <c r="G198" s="68"/>
      <c r="H198" s="68"/>
      <c r="I198" s="68"/>
      <c r="J198" s="68"/>
      <c r="K198" s="68"/>
      <c r="L198" s="68"/>
      <c r="M198" s="68"/>
      <c r="N198" s="68"/>
      <c r="O198" s="68"/>
      <c r="P198" s="68"/>
      <c r="Q198" s="125"/>
      <c r="R198" s="68"/>
    </row>
    <row r="199" spans="1:18" ht="33.75" customHeight="1">
      <c r="A199" s="68"/>
      <c r="B199" s="68"/>
      <c r="C199" s="68"/>
      <c r="D199" s="68"/>
      <c r="E199" s="68"/>
      <c r="F199" s="68"/>
      <c r="G199" s="68"/>
      <c r="H199" s="68"/>
      <c r="I199" s="68"/>
      <c r="J199" s="68"/>
      <c r="K199" s="68"/>
      <c r="L199" s="68"/>
      <c r="M199" s="68"/>
      <c r="N199" s="68"/>
      <c r="O199" s="68"/>
      <c r="P199" s="68"/>
      <c r="Q199" s="125"/>
      <c r="R199" s="68"/>
    </row>
    <row r="200" spans="1:18" ht="33.75" customHeight="1">
      <c r="A200" s="68"/>
      <c r="B200" s="68"/>
      <c r="C200" s="68"/>
      <c r="D200" s="68"/>
      <c r="E200" s="68"/>
      <c r="F200" s="68"/>
      <c r="G200" s="68"/>
      <c r="H200" s="68"/>
      <c r="I200" s="68"/>
      <c r="J200" s="68"/>
      <c r="K200" s="68"/>
      <c r="L200" s="68"/>
      <c r="M200" s="68"/>
      <c r="N200" s="68"/>
      <c r="O200" s="68"/>
      <c r="P200" s="68"/>
      <c r="Q200" s="125"/>
      <c r="R200" s="68"/>
    </row>
    <row r="201" spans="1:18" ht="33.75" customHeight="1">
      <c r="A201" s="68"/>
      <c r="B201" s="68"/>
      <c r="C201" s="68"/>
      <c r="D201" s="68"/>
      <c r="E201" s="68"/>
      <c r="F201" s="68"/>
      <c r="G201" s="68"/>
      <c r="H201" s="68"/>
      <c r="I201" s="68"/>
      <c r="J201" s="68"/>
      <c r="K201" s="68"/>
      <c r="L201" s="68"/>
      <c r="M201" s="68"/>
      <c r="N201" s="68"/>
      <c r="O201" s="68"/>
      <c r="P201" s="68"/>
      <c r="Q201" s="125"/>
      <c r="R201" s="68"/>
    </row>
    <row r="202" spans="1:18" ht="33.75" customHeight="1">
      <c r="A202" s="68"/>
      <c r="B202" s="68"/>
      <c r="C202" s="68"/>
      <c r="D202" s="68"/>
      <c r="E202" s="68"/>
      <c r="F202" s="68"/>
      <c r="G202" s="68"/>
      <c r="H202" s="68"/>
      <c r="I202" s="68"/>
      <c r="J202" s="68"/>
      <c r="K202" s="68"/>
      <c r="L202" s="68"/>
      <c r="M202" s="68"/>
      <c r="N202" s="68"/>
      <c r="O202" s="68"/>
      <c r="P202" s="68"/>
      <c r="Q202" s="125"/>
      <c r="R202" s="68"/>
    </row>
    <row r="203" spans="1:18" ht="33.75" customHeight="1">
      <c r="A203" s="68"/>
      <c r="B203" s="68"/>
      <c r="C203" s="68"/>
      <c r="D203" s="68"/>
      <c r="E203" s="68"/>
      <c r="F203" s="68"/>
      <c r="G203" s="68"/>
      <c r="H203" s="68"/>
      <c r="I203" s="68"/>
      <c r="J203" s="68"/>
      <c r="K203" s="68"/>
      <c r="L203" s="68"/>
      <c r="M203" s="68"/>
      <c r="N203" s="68"/>
      <c r="O203" s="68"/>
      <c r="P203" s="68"/>
      <c r="Q203" s="125"/>
      <c r="R203" s="68"/>
    </row>
    <row r="204" spans="1:18" ht="33.75" customHeight="1">
      <c r="A204" s="68"/>
      <c r="B204" s="68"/>
      <c r="C204" s="68"/>
      <c r="D204" s="68"/>
      <c r="E204" s="68"/>
      <c r="F204" s="68"/>
      <c r="G204" s="68"/>
      <c r="H204" s="68"/>
      <c r="I204" s="68"/>
      <c r="J204" s="68"/>
      <c r="K204" s="68"/>
      <c r="L204" s="68"/>
      <c r="M204" s="68"/>
      <c r="N204" s="68"/>
      <c r="O204" s="68"/>
      <c r="P204" s="68"/>
      <c r="Q204" s="125"/>
      <c r="R204" s="68"/>
    </row>
    <row r="205" spans="1:18" ht="33.75" customHeight="1">
      <c r="A205" s="68"/>
      <c r="B205" s="68"/>
      <c r="C205" s="68"/>
      <c r="D205" s="68"/>
      <c r="E205" s="68"/>
      <c r="F205" s="68"/>
      <c r="G205" s="68"/>
      <c r="H205" s="68"/>
      <c r="I205" s="68"/>
      <c r="J205" s="68"/>
      <c r="K205" s="68"/>
      <c r="L205" s="68"/>
      <c r="M205" s="68"/>
      <c r="N205" s="68"/>
      <c r="O205" s="68"/>
      <c r="P205" s="68"/>
      <c r="Q205" s="125"/>
      <c r="R205" s="68"/>
    </row>
    <row r="206" spans="1:18" ht="33.75" customHeight="1">
      <c r="A206" s="68"/>
      <c r="B206" s="68"/>
      <c r="C206" s="68"/>
      <c r="D206" s="68"/>
      <c r="E206" s="68"/>
      <c r="F206" s="68"/>
      <c r="G206" s="68"/>
      <c r="H206" s="68"/>
      <c r="I206" s="68"/>
      <c r="J206" s="68"/>
      <c r="K206" s="68"/>
      <c r="L206" s="68"/>
      <c r="M206" s="68"/>
      <c r="N206" s="68"/>
      <c r="O206" s="68"/>
      <c r="P206" s="68"/>
      <c r="Q206" s="125"/>
      <c r="R206" s="68"/>
    </row>
    <row r="207" spans="1:18" ht="33.75" customHeight="1">
      <c r="A207" s="68"/>
      <c r="B207" s="68"/>
      <c r="C207" s="68"/>
      <c r="D207" s="68"/>
      <c r="E207" s="68"/>
      <c r="F207" s="68"/>
      <c r="G207" s="68"/>
      <c r="H207" s="68"/>
      <c r="I207" s="68"/>
      <c r="J207" s="68"/>
      <c r="K207" s="68"/>
      <c r="L207" s="68"/>
      <c r="M207" s="68"/>
      <c r="N207" s="68"/>
      <c r="O207" s="68"/>
      <c r="P207" s="68"/>
      <c r="Q207" s="125"/>
      <c r="R207" s="68"/>
    </row>
    <row r="208" spans="1:18" ht="33.75" customHeight="1">
      <c r="A208" s="68"/>
      <c r="B208" s="68"/>
      <c r="C208" s="68"/>
      <c r="D208" s="68"/>
      <c r="E208" s="68"/>
      <c r="F208" s="68"/>
      <c r="G208" s="68"/>
      <c r="H208" s="68"/>
      <c r="I208" s="68"/>
      <c r="J208" s="68"/>
      <c r="K208" s="68"/>
      <c r="L208" s="68"/>
      <c r="M208" s="68"/>
      <c r="N208" s="68"/>
      <c r="O208" s="68"/>
      <c r="P208" s="68"/>
      <c r="Q208" s="125"/>
      <c r="R208" s="68"/>
    </row>
    <row r="209" spans="1:18" ht="33.75" customHeight="1">
      <c r="A209" s="68"/>
      <c r="B209" s="68"/>
      <c r="C209" s="68"/>
      <c r="D209" s="68"/>
      <c r="E209" s="68"/>
      <c r="F209" s="68"/>
      <c r="G209" s="68"/>
      <c r="H209" s="68"/>
      <c r="I209" s="68"/>
      <c r="J209" s="68"/>
      <c r="K209" s="68"/>
      <c r="L209" s="68"/>
      <c r="M209" s="68"/>
      <c r="N209" s="68"/>
      <c r="O209" s="68"/>
      <c r="P209" s="68"/>
      <c r="Q209" s="125"/>
      <c r="R209" s="68"/>
    </row>
    <row r="210" spans="1:18" ht="33.75" customHeight="1">
      <c r="A210" s="68"/>
      <c r="B210" s="68"/>
      <c r="C210" s="68"/>
      <c r="D210" s="68"/>
      <c r="E210" s="68"/>
      <c r="F210" s="68"/>
      <c r="G210" s="68"/>
      <c r="H210" s="68"/>
      <c r="I210" s="68"/>
      <c r="J210" s="68"/>
      <c r="K210" s="68"/>
      <c r="L210" s="68"/>
      <c r="M210" s="68"/>
      <c r="N210" s="68"/>
      <c r="O210" s="68"/>
      <c r="P210" s="68"/>
      <c r="Q210" s="125"/>
      <c r="R210" s="68"/>
    </row>
    <row r="211" spans="1:18" ht="33.75" customHeight="1">
      <c r="A211" s="68"/>
      <c r="B211" s="68"/>
      <c r="C211" s="68"/>
      <c r="D211" s="68"/>
      <c r="E211" s="68"/>
      <c r="F211" s="68"/>
      <c r="G211" s="68"/>
      <c r="H211" s="68"/>
      <c r="I211" s="68"/>
      <c r="J211" s="68"/>
      <c r="K211" s="68"/>
      <c r="L211" s="68"/>
      <c r="M211" s="68"/>
      <c r="N211" s="68"/>
      <c r="O211" s="68"/>
      <c r="P211" s="68"/>
      <c r="Q211" s="125"/>
      <c r="R211" s="68"/>
    </row>
    <row r="212" spans="1:18" ht="33.75" customHeight="1">
      <c r="A212" s="68"/>
      <c r="B212" s="68"/>
      <c r="C212" s="68"/>
      <c r="D212" s="68"/>
      <c r="E212" s="68"/>
      <c r="F212" s="68"/>
      <c r="G212" s="68"/>
      <c r="H212" s="68"/>
      <c r="I212" s="68"/>
      <c r="J212" s="68"/>
      <c r="K212" s="68"/>
      <c r="L212" s="68"/>
      <c r="M212" s="68"/>
      <c r="N212" s="68"/>
      <c r="O212" s="68"/>
      <c r="P212" s="68"/>
      <c r="Q212" s="125"/>
      <c r="R212" s="68"/>
    </row>
    <row r="213" spans="1:18" ht="33.75" customHeight="1">
      <c r="A213" s="68"/>
      <c r="B213" s="68"/>
      <c r="C213" s="68"/>
      <c r="D213" s="68"/>
      <c r="E213" s="68"/>
      <c r="F213" s="68"/>
      <c r="G213" s="68"/>
      <c r="H213" s="68"/>
      <c r="I213" s="68"/>
      <c r="J213" s="68"/>
      <c r="K213" s="68"/>
      <c r="L213" s="68"/>
      <c r="M213" s="68"/>
      <c r="N213" s="68"/>
      <c r="O213" s="68"/>
      <c r="P213" s="68"/>
      <c r="Q213" s="125"/>
      <c r="R213" s="68"/>
    </row>
    <row r="214" spans="1:18" ht="33.75" customHeight="1">
      <c r="A214" s="68"/>
      <c r="B214" s="68"/>
      <c r="C214" s="68"/>
      <c r="D214" s="68"/>
      <c r="E214" s="68"/>
      <c r="F214" s="68"/>
      <c r="G214" s="68"/>
      <c r="H214" s="68"/>
      <c r="I214" s="68"/>
      <c r="J214" s="68"/>
      <c r="K214" s="68"/>
      <c r="L214" s="68"/>
      <c r="M214" s="68"/>
      <c r="N214" s="68"/>
      <c r="O214" s="68"/>
      <c r="P214" s="68"/>
      <c r="Q214" s="125"/>
      <c r="R214" s="68"/>
    </row>
    <row r="215" spans="1:18" ht="33.75" customHeight="1">
      <c r="A215" s="68"/>
      <c r="B215" s="68"/>
      <c r="C215" s="68"/>
      <c r="D215" s="68"/>
      <c r="E215" s="68"/>
      <c r="F215" s="68"/>
      <c r="G215" s="68"/>
      <c r="H215" s="68"/>
      <c r="I215" s="68"/>
      <c r="J215" s="68"/>
      <c r="K215" s="68"/>
      <c r="L215" s="68"/>
      <c r="M215" s="68"/>
      <c r="N215" s="68"/>
      <c r="O215" s="68"/>
      <c r="P215" s="68"/>
      <c r="Q215" s="125"/>
      <c r="R215" s="68"/>
    </row>
    <row r="216" spans="1:18" ht="33.75" customHeight="1">
      <c r="A216" s="68"/>
      <c r="B216" s="68"/>
      <c r="C216" s="68"/>
      <c r="D216" s="68"/>
      <c r="E216" s="68"/>
      <c r="F216" s="68"/>
      <c r="G216" s="68"/>
      <c r="H216" s="68"/>
      <c r="I216" s="68"/>
      <c r="J216" s="68"/>
      <c r="K216" s="68"/>
      <c r="L216" s="68"/>
      <c r="M216" s="68"/>
      <c r="N216" s="68"/>
      <c r="O216" s="68"/>
      <c r="P216" s="68"/>
      <c r="Q216" s="125"/>
      <c r="R216" s="68"/>
    </row>
    <row r="217" spans="1:18" ht="33.75" customHeight="1">
      <c r="A217" s="68"/>
      <c r="B217" s="68"/>
      <c r="C217" s="68"/>
      <c r="D217" s="68"/>
      <c r="E217" s="68"/>
      <c r="F217" s="68"/>
      <c r="G217" s="68"/>
      <c r="H217" s="68"/>
      <c r="I217" s="68"/>
      <c r="J217" s="68"/>
      <c r="K217" s="68"/>
      <c r="L217" s="68"/>
      <c r="M217" s="68"/>
      <c r="N217" s="68"/>
      <c r="O217" s="68"/>
      <c r="P217" s="68"/>
      <c r="Q217" s="125"/>
      <c r="R217" s="68"/>
    </row>
    <row r="218" spans="1:18" ht="33.75" customHeight="1">
      <c r="A218" s="68"/>
      <c r="B218" s="68"/>
      <c r="C218" s="68"/>
      <c r="D218" s="68"/>
      <c r="E218" s="68"/>
      <c r="F218" s="68"/>
      <c r="G218" s="68"/>
      <c r="H218" s="68"/>
      <c r="I218" s="68"/>
      <c r="J218" s="68"/>
      <c r="K218" s="68"/>
      <c r="L218" s="68"/>
      <c r="M218" s="68"/>
      <c r="N218" s="68"/>
      <c r="O218" s="68"/>
      <c r="P218" s="68"/>
      <c r="Q218" s="125"/>
      <c r="R218" s="68"/>
    </row>
    <row r="219" spans="1:18" ht="33.75" customHeight="1">
      <c r="A219" s="68"/>
      <c r="B219" s="68"/>
      <c r="C219" s="68"/>
      <c r="D219" s="68"/>
      <c r="E219" s="68"/>
      <c r="F219" s="68"/>
      <c r="G219" s="68"/>
      <c r="H219" s="68"/>
      <c r="I219" s="68"/>
      <c r="J219" s="68"/>
      <c r="K219" s="68"/>
      <c r="L219" s="68"/>
      <c r="M219" s="68"/>
      <c r="N219" s="68"/>
      <c r="O219" s="68"/>
      <c r="P219" s="68"/>
      <c r="Q219" s="125"/>
      <c r="R219" s="68"/>
    </row>
    <row r="220" spans="1:18" ht="33.75" customHeight="1">
      <c r="A220" s="68"/>
      <c r="B220" s="68"/>
      <c r="C220" s="68"/>
      <c r="D220" s="68"/>
      <c r="E220" s="68"/>
      <c r="F220" s="68"/>
      <c r="G220" s="68"/>
      <c r="H220" s="68"/>
      <c r="I220" s="68"/>
      <c r="J220" s="68"/>
      <c r="K220" s="68"/>
      <c r="L220" s="68"/>
      <c r="M220" s="68"/>
      <c r="N220" s="68"/>
      <c r="O220" s="68"/>
      <c r="P220" s="68"/>
      <c r="Q220" s="125"/>
      <c r="R220" s="68"/>
    </row>
    <row r="221" spans="1:18" ht="33.75" customHeight="1">
      <c r="A221" s="68"/>
      <c r="B221" s="68"/>
      <c r="C221" s="68"/>
      <c r="D221" s="68"/>
      <c r="E221" s="68"/>
      <c r="F221" s="68"/>
      <c r="G221" s="68"/>
      <c r="H221" s="68"/>
      <c r="I221" s="68"/>
      <c r="J221" s="68"/>
      <c r="K221" s="68"/>
      <c r="L221" s="68"/>
      <c r="M221" s="68"/>
      <c r="N221" s="68"/>
      <c r="O221" s="68"/>
      <c r="P221" s="68"/>
      <c r="Q221" s="125"/>
      <c r="R221" s="68"/>
    </row>
    <row r="222" spans="1:18" ht="33.75" customHeight="1">
      <c r="A222" s="68"/>
      <c r="B222" s="68"/>
      <c r="C222" s="68"/>
      <c r="D222" s="68"/>
      <c r="E222" s="68"/>
      <c r="F222" s="68"/>
      <c r="G222" s="68"/>
      <c r="H222" s="68"/>
      <c r="I222" s="68"/>
      <c r="J222" s="68"/>
      <c r="K222" s="68"/>
      <c r="L222" s="68"/>
      <c r="M222" s="68"/>
      <c r="N222" s="68"/>
      <c r="O222" s="68"/>
      <c r="P222" s="68"/>
      <c r="Q222" s="125"/>
      <c r="R222" s="68"/>
    </row>
    <row r="223" spans="1:18" ht="33.75" customHeight="1">
      <c r="A223" s="68"/>
      <c r="B223" s="68"/>
      <c r="C223" s="68"/>
      <c r="D223" s="68"/>
      <c r="E223" s="68"/>
      <c r="F223" s="68"/>
      <c r="G223" s="68"/>
      <c r="H223" s="68"/>
      <c r="I223" s="68"/>
      <c r="J223" s="68"/>
      <c r="K223" s="68"/>
      <c r="L223" s="68"/>
      <c r="M223" s="68"/>
      <c r="N223" s="68"/>
      <c r="O223" s="68"/>
      <c r="P223" s="68"/>
      <c r="Q223" s="125"/>
      <c r="R223" s="68"/>
    </row>
    <row r="224" spans="1:18" ht="33.75" customHeight="1">
      <c r="A224" s="68"/>
      <c r="B224" s="68"/>
      <c r="C224" s="68"/>
      <c r="D224" s="68"/>
      <c r="E224" s="68"/>
      <c r="F224" s="68"/>
      <c r="G224" s="68"/>
      <c r="H224" s="68"/>
      <c r="I224" s="68"/>
      <c r="J224" s="68"/>
      <c r="K224" s="68"/>
      <c r="L224" s="68"/>
      <c r="M224" s="68"/>
      <c r="N224" s="68"/>
      <c r="O224" s="68"/>
      <c r="P224" s="68"/>
      <c r="Q224" s="125"/>
      <c r="R224" s="68"/>
    </row>
    <row r="225" spans="1:18" ht="33.75" customHeight="1">
      <c r="A225" s="68"/>
      <c r="B225" s="68"/>
      <c r="C225" s="68"/>
      <c r="D225" s="68"/>
      <c r="E225" s="68"/>
      <c r="F225" s="68"/>
      <c r="G225" s="68"/>
      <c r="H225" s="68"/>
      <c r="I225" s="68"/>
      <c r="J225" s="68"/>
      <c r="K225" s="68"/>
      <c r="L225" s="68"/>
      <c r="M225" s="68"/>
      <c r="N225" s="68"/>
      <c r="O225" s="68"/>
      <c r="P225" s="68"/>
      <c r="Q225" s="125"/>
      <c r="R225" s="68"/>
    </row>
    <row r="226" spans="1:18" ht="33.75" customHeight="1">
      <c r="A226" s="68"/>
      <c r="B226" s="68"/>
      <c r="C226" s="68"/>
      <c r="D226" s="68"/>
      <c r="E226" s="68"/>
      <c r="F226" s="68"/>
      <c r="G226" s="68"/>
      <c r="H226" s="68"/>
      <c r="I226" s="68"/>
      <c r="J226" s="68"/>
      <c r="K226" s="68"/>
      <c r="L226" s="68"/>
      <c r="M226" s="68"/>
      <c r="N226" s="68"/>
      <c r="O226" s="68"/>
      <c r="P226" s="68"/>
      <c r="Q226" s="125"/>
      <c r="R226" s="68"/>
    </row>
    <row r="227" spans="1:18" ht="33.75" customHeight="1">
      <c r="A227" s="68"/>
      <c r="B227" s="68"/>
      <c r="C227" s="68"/>
      <c r="D227" s="68"/>
      <c r="E227" s="68"/>
      <c r="F227" s="68"/>
      <c r="G227" s="68"/>
      <c r="H227" s="68"/>
      <c r="I227" s="68"/>
      <c r="J227" s="68"/>
      <c r="K227" s="68"/>
      <c r="L227" s="68"/>
      <c r="M227" s="68"/>
      <c r="N227" s="68"/>
      <c r="O227" s="68"/>
      <c r="P227" s="68"/>
      <c r="Q227" s="125"/>
      <c r="R227" s="68"/>
    </row>
    <row r="228" spans="1:18" ht="33.75" customHeight="1">
      <c r="A228" s="68"/>
      <c r="B228" s="68"/>
      <c r="C228" s="68"/>
      <c r="D228" s="68"/>
      <c r="E228" s="68"/>
      <c r="F228" s="68"/>
      <c r="G228" s="68"/>
      <c r="H228" s="68"/>
      <c r="I228" s="68"/>
      <c r="J228" s="68"/>
      <c r="K228" s="68"/>
      <c r="L228" s="68"/>
      <c r="M228" s="68"/>
      <c r="N228" s="68"/>
      <c r="O228" s="68"/>
      <c r="P228" s="68"/>
      <c r="Q228" s="125"/>
      <c r="R228" s="68"/>
    </row>
    <row r="229" spans="1:18" ht="33.75" customHeight="1">
      <c r="A229" s="68"/>
      <c r="B229" s="68"/>
      <c r="C229" s="68"/>
      <c r="D229" s="68"/>
      <c r="E229" s="68"/>
      <c r="F229" s="68"/>
      <c r="G229" s="68"/>
      <c r="H229" s="68"/>
      <c r="I229" s="68"/>
      <c r="J229" s="68"/>
      <c r="K229" s="68"/>
      <c r="L229" s="68"/>
      <c r="M229" s="68"/>
      <c r="N229" s="68"/>
      <c r="O229" s="68"/>
      <c r="P229" s="68"/>
      <c r="Q229" s="125"/>
      <c r="R229" s="68"/>
    </row>
    <row r="230" spans="1:18" ht="33.75" customHeight="1">
      <c r="A230" s="68"/>
      <c r="B230" s="68"/>
      <c r="C230" s="68"/>
      <c r="D230" s="68"/>
      <c r="E230" s="68"/>
      <c r="F230" s="68"/>
      <c r="G230" s="68"/>
      <c r="H230" s="68"/>
      <c r="I230" s="68"/>
      <c r="J230" s="68"/>
      <c r="K230" s="68"/>
      <c r="L230" s="68"/>
      <c r="M230" s="68"/>
      <c r="N230" s="68"/>
      <c r="O230" s="68"/>
      <c r="P230" s="68"/>
      <c r="Q230" s="125"/>
      <c r="R230" s="68"/>
    </row>
    <row r="231" spans="1:18" ht="33.75" customHeight="1">
      <c r="A231" s="68"/>
      <c r="B231" s="68"/>
      <c r="C231" s="68"/>
      <c r="D231" s="68"/>
      <c r="E231" s="68"/>
      <c r="F231" s="68"/>
      <c r="G231" s="68"/>
      <c r="H231" s="68"/>
      <c r="I231" s="68"/>
      <c r="J231" s="68"/>
      <c r="K231" s="68"/>
      <c r="L231" s="68"/>
      <c r="M231" s="68"/>
      <c r="N231" s="68"/>
      <c r="O231" s="68"/>
      <c r="P231" s="68"/>
      <c r="Q231" s="125"/>
      <c r="R231" s="68"/>
    </row>
    <row r="232" spans="1:18" ht="33.75" customHeight="1">
      <c r="A232" s="68"/>
      <c r="B232" s="68"/>
      <c r="C232" s="68"/>
      <c r="D232" s="68"/>
      <c r="E232" s="68"/>
      <c r="F232" s="68"/>
      <c r="G232" s="68"/>
      <c r="H232" s="68"/>
      <c r="I232" s="68"/>
      <c r="J232" s="68"/>
      <c r="K232" s="68"/>
      <c r="L232" s="68"/>
      <c r="M232" s="68"/>
      <c r="N232" s="68"/>
      <c r="O232" s="68"/>
      <c r="P232" s="68"/>
      <c r="Q232" s="125"/>
      <c r="R232" s="68"/>
    </row>
    <row r="233" spans="1:18" ht="33.75" customHeight="1">
      <c r="A233" s="68"/>
      <c r="B233" s="68"/>
      <c r="C233" s="68"/>
      <c r="D233" s="68"/>
      <c r="E233" s="68"/>
      <c r="F233" s="68"/>
      <c r="G233" s="68"/>
      <c r="H233" s="68"/>
      <c r="I233" s="68"/>
      <c r="J233" s="68"/>
      <c r="K233" s="68"/>
      <c r="L233" s="68"/>
      <c r="M233" s="68"/>
      <c r="N233" s="68"/>
      <c r="O233" s="68"/>
      <c r="P233" s="68"/>
      <c r="Q233" s="125"/>
      <c r="R233" s="68"/>
    </row>
    <row r="234" spans="1:18" ht="33.75" customHeight="1">
      <c r="A234" s="68"/>
      <c r="B234" s="68"/>
      <c r="C234" s="68"/>
      <c r="D234" s="68"/>
      <c r="E234" s="68"/>
      <c r="F234" s="68"/>
      <c r="G234" s="68"/>
      <c r="H234" s="68"/>
      <c r="I234" s="68"/>
      <c r="J234" s="68"/>
      <c r="K234" s="68"/>
      <c r="L234" s="68"/>
      <c r="M234" s="68"/>
      <c r="N234" s="68"/>
      <c r="O234" s="68"/>
      <c r="P234" s="68"/>
      <c r="Q234" s="125"/>
      <c r="R234" s="68"/>
    </row>
    <row r="235" spans="1:18" ht="33.75" customHeight="1">
      <c r="A235" s="68"/>
      <c r="B235" s="68"/>
      <c r="C235" s="68"/>
      <c r="D235" s="68"/>
      <c r="E235" s="68"/>
      <c r="F235" s="68"/>
      <c r="G235" s="68"/>
      <c r="H235" s="68"/>
      <c r="I235" s="68"/>
      <c r="J235" s="68"/>
      <c r="K235" s="68"/>
      <c r="L235" s="68"/>
      <c r="M235" s="68"/>
      <c r="N235" s="68"/>
      <c r="O235" s="68"/>
      <c r="P235" s="68"/>
      <c r="Q235" s="125"/>
      <c r="R235" s="68"/>
    </row>
    <row r="236" spans="1:18" ht="33.75" customHeight="1">
      <c r="A236" s="68"/>
      <c r="B236" s="68"/>
      <c r="C236" s="68"/>
      <c r="D236" s="68"/>
      <c r="E236" s="68"/>
      <c r="F236" s="68"/>
      <c r="G236" s="68"/>
      <c r="H236" s="68"/>
      <c r="I236" s="68"/>
      <c r="J236" s="68"/>
      <c r="K236" s="68"/>
      <c r="L236" s="68"/>
      <c r="M236" s="68"/>
      <c r="N236" s="68"/>
      <c r="O236" s="68"/>
      <c r="P236" s="68"/>
      <c r="Q236" s="125"/>
      <c r="R236" s="68"/>
    </row>
    <row r="237" spans="1:18" ht="33.75" customHeight="1">
      <c r="A237" s="68"/>
      <c r="B237" s="68"/>
      <c r="C237" s="68"/>
      <c r="D237" s="68"/>
      <c r="E237" s="68"/>
      <c r="F237" s="68"/>
      <c r="G237" s="68"/>
      <c r="H237" s="68"/>
      <c r="I237" s="68"/>
      <c r="J237" s="68"/>
      <c r="K237" s="68"/>
      <c r="L237" s="68"/>
      <c r="M237" s="68"/>
      <c r="N237" s="68"/>
      <c r="O237" s="68"/>
      <c r="P237" s="68"/>
      <c r="Q237" s="125"/>
      <c r="R237" s="68"/>
    </row>
    <row r="238" spans="1:18" ht="33.75" customHeight="1">
      <c r="A238" s="68"/>
      <c r="B238" s="68"/>
      <c r="C238" s="68"/>
      <c r="D238" s="68"/>
      <c r="E238" s="68"/>
      <c r="F238" s="68"/>
      <c r="G238" s="68"/>
      <c r="H238" s="68"/>
      <c r="I238" s="68"/>
      <c r="J238" s="68"/>
      <c r="K238" s="68"/>
      <c r="L238" s="68"/>
      <c r="M238" s="68"/>
      <c r="N238" s="68"/>
      <c r="O238" s="68"/>
      <c r="P238" s="68"/>
      <c r="Q238" s="125"/>
      <c r="R238" s="68"/>
    </row>
    <row r="239" spans="1:18" ht="33.75" customHeight="1">
      <c r="A239" s="68"/>
      <c r="B239" s="68"/>
      <c r="C239" s="68"/>
      <c r="D239" s="68"/>
      <c r="E239" s="68"/>
      <c r="F239" s="68"/>
      <c r="G239" s="68"/>
      <c r="H239" s="68"/>
      <c r="I239" s="68"/>
      <c r="J239" s="68"/>
      <c r="K239" s="68"/>
      <c r="L239" s="68"/>
      <c r="M239" s="68"/>
      <c r="N239" s="68"/>
      <c r="O239" s="68"/>
      <c r="P239" s="68"/>
      <c r="Q239" s="125"/>
      <c r="R239" s="68"/>
    </row>
    <row r="240" spans="1:18" ht="33.75" customHeight="1">
      <c r="A240" s="68"/>
      <c r="B240" s="68"/>
      <c r="C240" s="68"/>
      <c r="D240" s="68"/>
      <c r="E240" s="68"/>
      <c r="F240" s="68"/>
      <c r="G240" s="68"/>
      <c r="H240" s="68"/>
      <c r="I240" s="68"/>
      <c r="J240" s="68"/>
      <c r="K240" s="68"/>
      <c r="L240" s="68"/>
      <c r="M240" s="68"/>
      <c r="N240" s="68"/>
      <c r="O240" s="68"/>
      <c r="P240" s="68"/>
      <c r="Q240" s="125"/>
      <c r="R240" s="68"/>
    </row>
    <row r="241" spans="1:18" ht="33.75" customHeight="1">
      <c r="A241" s="68"/>
      <c r="B241" s="68"/>
      <c r="C241" s="68"/>
      <c r="D241" s="68"/>
      <c r="E241" s="68"/>
      <c r="F241" s="68"/>
      <c r="G241" s="68"/>
      <c r="H241" s="68"/>
      <c r="I241" s="68"/>
      <c r="J241" s="68"/>
      <c r="K241" s="68"/>
      <c r="L241" s="68"/>
      <c r="M241" s="68"/>
      <c r="N241" s="68"/>
      <c r="O241" s="68"/>
      <c r="P241" s="68"/>
      <c r="Q241" s="125"/>
      <c r="R241" s="68"/>
    </row>
    <row r="242" spans="1:18" ht="33.75" customHeight="1">
      <c r="A242" s="68"/>
      <c r="B242" s="68"/>
      <c r="C242" s="68"/>
      <c r="D242" s="68"/>
      <c r="E242" s="68"/>
      <c r="F242" s="68"/>
      <c r="G242" s="68"/>
      <c r="H242" s="68"/>
      <c r="I242" s="68"/>
      <c r="J242" s="68"/>
      <c r="K242" s="68"/>
      <c r="L242" s="68"/>
      <c r="M242" s="68"/>
      <c r="N242" s="68"/>
      <c r="O242" s="68"/>
      <c r="P242" s="68"/>
      <c r="Q242" s="125"/>
      <c r="R242" s="68"/>
    </row>
    <row r="243" spans="1:18" ht="33.75" customHeight="1">
      <c r="A243" s="68"/>
      <c r="B243" s="68"/>
      <c r="C243" s="68"/>
      <c r="D243" s="68"/>
      <c r="E243" s="68"/>
      <c r="F243" s="68"/>
      <c r="G243" s="68"/>
      <c r="H243" s="68"/>
      <c r="I243" s="68"/>
      <c r="J243" s="68"/>
      <c r="K243" s="68"/>
      <c r="L243" s="68"/>
      <c r="M243" s="68"/>
      <c r="N243" s="68"/>
      <c r="O243" s="68"/>
      <c r="P243" s="68"/>
      <c r="Q243" s="125"/>
      <c r="R243" s="68"/>
    </row>
    <row r="244" spans="1:18" ht="33.75" customHeight="1">
      <c r="A244" s="68"/>
      <c r="B244" s="68"/>
      <c r="C244" s="68"/>
      <c r="D244" s="68"/>
      <c r="E244" s="68"/>
      <c r="F244" s="68"/>
      <c r="G244" s="68"/>
      <c r="H244" s="68"/>
      <c r="I244" s="68"/>
      <c r="J244" s="68"/>
      <c r="K244" s="68"/>
      <c r="L244" s="68"/>
      <c r="M244" s="68"/>
      <c r="N244" s="68"/>
      <c r="O244" s="68"/>
      <c r="P244" s="68"/>
      <c r="Q244" s="125"/>
      <c r="R244" s="68"/>
    </row>
    <row r="245" spans="1:18" ht="33.75" customHeight="1">
      <c r="A245" s="68"/>
      <c r="B245" s="68"/>
      <c r="C245" s="68"/>
      <c r="D245" s="68"/>
      <c r="E245" s="68"/>
      <c r="F245" s="68"/>
      <c r="G245" s="68"/>
      <c r="H245" s="68"/>
      <c r="I245" s="68"/>
      <c r="J245" s="68"/>
      <c r="K245" s="68"/>
      <c r="L245" s="68"/>
      <c r="M245" s="68"/>
      <c r="N245" s="68"/>
      <c r="O245" s="68"/>
      <c r="P245" s="68"/>
      <c r="Q245" s="125"/>
      <c r="R245" s="68"/>
    </row>
    <row r="246" spans="1:18" ht="33.75" customHeight="1">
      <c r="A246" s="68"/>
      <c r="B246" s="68"/>
      <c r="C246" s="68"/>
      <c r="D246" s="68"/>
      <c r="E246" s="68"/>
      <c r="F246" s="68"/>
      <c r="G246" s="68"/>
      <c r="H246" s="68"/>
      <c r="I246" s="68"/>
      <c r="J246" s="68"/>
      <c r="K246" s="68"/>
      <c r="L246" s="68"/>
      <c r="M246" s="68"/>
      <c r="N246" s="68"/>
      <c r="O246" s="68"/>
      <c r="P246" s="68"/>
      <c r="Q246" s="125"/>
      <c r="R246" s="68"/>
    </row>
    <row r="247" spans="1:18" ht="33.75" customHeight="1">
      <c r="A247" s="68"/>
      <c r="B247" s="68"/>
      <c r="C247" s="68"/>
      <c r="D247" s="68"/>
      <c r="E247" s="68"/>
      <c r="F247" s="68"/>
      <c r="G247" s="68"/>
      <c r="H247" s="68"/>
      <c r="I247" s="68"/>
      <c r="J247" s="68"/>
      <c r="K247" s="68"/>
      <c r="L247" s="68"/>
      <c r="M247" s="68"/>
      <c r="N247" s="68"/>
      <c r="O247" s="68"/>
      <c r="P247" s="68"/>
      <c r="Q247" s="125"/>
      <c r="R247" s="68"/>
    </row>
    <row r="248" spans="1:18" ht="33.75" customHeight="1">
      <c r="A248" s="68"/>
      <c r="B248" s="68"/>
      <c r="C248" s="68"/>
      <c r="D248" s="68"/>
      <c r="E248" s="68"/>
      <c r="F248" s="68"/>
      <c r="G248" s="68"/>
      <c r="H248" s="68"/>
      <c r="I248" s="68"/>
      <c r="J248" s="68"/>
      <c r="K248" s="68"/>
      <c r="L248" s="68"/>
      <c r="M248" s="68"/>
      <c r="N248" s="68"/>
      <c r="O248" s="68"/>
      <c r="P248" s="68"/>
      <c r="Q248" s="125"/>
      <c r="R248" s="68"/>
    </row>
    <row r="249" spans="1:18" ht="33.75" customHeight="1">
      <c r="A249" s="68"/>
      <c r="B249" s="68"/>
      <c r="C249" s="68"/>
      <c r="D249" s="68"/>
      <c r="E249" s="68"/>
      <c r="F249" s="68"/>
      <c r="G249" s="68"/>
      <c r="H249" s="68"/>
      <c r="I249" s="68"/>
      <c r="J249" s="68"/>
      <c r="K249" s="68"/>
      <c r="L249" s="68"/>
      <c r="M249" s="68"/>
      <c r="N249" s="68"/>
      <c r="O249" s="68"/>
      <c r="P249" s="68"/>
      <c r="Q249" s="125"/>
      <c r="R249" s="68"/>
    </row>
    <row r="250" spans="1:18" ht="33.75" customHeight="1">
      <c r="A250" s="68"/>
      <c r="B250" s="68"/>
      <c r="C250" s="68"/>
      <c r="D250" s="68"/>
      <c r="E250" s="68"/>
      <c r="F250" s="68"/>
      <c r="G250" s="68"/>
      <c r="H250" s="68"/>
      <c r="I250" s="68"/>
      <c r="J250" s="68"/>
      <c r="K250" s="68"/>
      <c r="L250" s="68"/>
      <c r="M250" s="68"/>
      <c r="N250" s="68"/>
      <c r="O250" s="68"/>
      <c r="P250" s="68"/>
      <c r="Q250" s="125"/>
      <c r="R250" s="68"/>
    </row>
    <row r="251" spans="1:18" ht="33.75" customHeight="1">
      <c r="A251" s="68"/>
      <c r="B251" s="68"/>
      <c r="C251" s="68"/>
      <c r="D251" s="68"/>
      <c r="E251" s="68"/>
      <c r="F251" s="68"/>
      <c r="G251" s="68"/>
      <c r="H251" s="68"/>
      <c r="I251" s="68"/>
      <c r="J251" s="68"/>
      <c r="K251" s="68"/>
      <c r="L251" s="68"/>
      <c r="M251" s="68"/>
      <c r="N251" s="68"/>
      <c r="O251" s="68"/>
      <c r="P251" s="68"/>
      <c r="Q251" s="125"/>
      <c r="R251" s="68"/>
    </row>
    <row r="252" spans="1:18" ht="33.75" customHeight="1">
      <c r="A252" s="68"/>
      <c r="B252" s="68"/>
      <c r="C252" s="68"/>
      <c r="D252" s="68"/>
      <c r="E252" s="68"/>
      <c r="F252" s="68"/>
      <c r="G252" s="68"/>
      <c r="H252" s="68"/>
      <c r="I252" s="68"/>
      <c r="J252" s="68"/>
      <c r="K252" s="68"/>
      <c r="L252" s="68"/>
      <c r="M252" s="68"/>
      <c r="N252" s="68"/>
      <c r="O252" s="68"/>
      <c r="P252" s="68"/>
      <c r="Q252" s="125"/>
      <c r="R252" s="68"/>
    </row>
    <row r="253" spans="1:18" ht="33.75" customHeight="1">
      <c r="A253" s="68"/>
      <c r="B253" s="68"/>
      <c r="C253" s="68"/>
      <c r="D253" s="68"/>
      <c r="E253" s="68"/>
      <c r="F253" s="68"/>
      <c r="G253" s="68"/>
      <c r="H253" s="68"/>
      <c r="I253" s="68"/>
      <c r="J253" s="68"/>
      <c r="K253" s="68"/>
      <c r="L253" s="68"/>
      <c r="M253" s="68"/>
      <c r="N253" s="68"/>
      <c r="O253" s="68"/>
      <c r="P253" s="68"/>
      <c r="Q253" s="125"/>
      <c r="R253" s="68"/>
    </row>
    <row r="254" spans="1:18" ht="33.75" customHeight="1">
      <c r="A254" s="68"/>
      <c r="B254" s="68"/>
      <c r="C254" s="68"/>
      <c r="D254" s="68"/>
      <c r="E254" s="68"/>
      <c r="F254" s="68"/>
      <c r="G254" s="68"/>
      <c r="H254" s="68"/>
      <c r="I254" s="68"/>
      <c r="J254" s="68"/>
      <c r="K254" s="68"/>
      <c r="L254" s="68"/>
      <c r="M254" s="68"/>
      <c r="N254" s="68"/>
      <c r="O254" s="68"/>
      <c r="P254" s="68"/>
      <c r="Q254" s="125"/>
      <c r="R254" s="68"/>
    </row>
    <row r="255" spans="1:18" ht="33.75" customHeight="1">
      <c r="A255" s="68"/>
      <c r="B255" s="68"/>
      <c r="C255" s="68"/>
      <c r="D255" s="68"/>
      <c r="E255" s="68"/>
      <c r="F255" s="68"/>
      <c r="G255" s="68"/>
      <c r="H255" s="68"/>
      <c r="I255" s="68"/>
      <c r="J255" s="68"/>
      <c r="K255" s="68"/>
      <c r="L255" s="68"/>
      <c r="M255" s="68"/>
      <c r="N255" s="68"/>
      <c r="O255" s="68"/>
      <c r="P255" s="68"/>
      <c r="Q255" s="125"/>
      <c r="R255" s="68"/>
    </row>
    <row r="256" spans="1:18" ht="33.75" customHeight="1">
      <c r="A256" s="68"/>
      <c r="B256" s="68"/>
      <c r="C256" s="68"/>
      <c r="D256" s="68"/>
      <c r="E256" s="68"/>
      <c r="F256" s="68"/>
      <c r="G256" s="68"/>
      <c r="H256" s="68"/>
      <c r="I256" s="68"/>
      <c r="J256" s="68"/>
      <c r="K256" s="68"/>
      <c r="L256" s="68"/>
      <c r="M256" s="68"/>
      <c r="N256" s="68"/>
      <c r="O256" s="68"/>
      <c r="P256" s="68"/>
      <c r="Q256" s="125"/>
      <c r="R256" s="68"/>
    </row>
    <row r="257" spans="1:18" ht="33.75" customHeight="1">
      <c r="A257" s="68"/>
      <c r="B257" s="68"/>
      <c r="C257" s="68"/>
      <c r="D257" s="68"/>
      <c r="E257" s="68"/>
      <c r="F257" s="68"/>
      <c r="G257" s="68"/>
      <c r="H257" s="68"/>
      <c r="I257" s="68"/>
      <c r="J257" s="68"/>
      <c r="K257" s="68"/>
      <c r="L257" s="68"/>
      <c r="M257" s="68"/>
      <c r="N257" s="68"/>
      <c r="O257" s="68"/>
      <c r="P257" s="68"/>
      <c r="Q257" s="125"/>
      <c r="R257" s="68"/>
    </row>
    <row r="258" spans="1:18" ht="33.75" customHeight="1">
      <c r="A258" s="68"/>
      <c r="B258" s="68"/>
      <c r="C258" s="68"/>
      <c r="D258" s="68"/>
      <c r="E258" s="68"/>
      <c r="F258" s="68"/>
      <c r="G258" s="68"/>
      <c r="H258" s="68"/>
      <c r="I258" s="68"/>
      <c r="J258" s="68"/>
      <c r="K258" s="68"/>
      <c r="L258" s="68"/>
      <c r="M258" s="68"/>
      <c r="N258" s="68"/>
      <c r="O258" s="68"/>
      <c r="P258" s="68"/>
      <c r="Q258" s="125"/>
      <c r="R258" s="68"/>
    </row>
    <row r="259" spans="1:18" ht="33.75" customHeight="1">
      <c r="A259" s="68"/>
      <c r="B259" s="68"/>
      <c r="C259" s="68"/>
      <c r="D259" s="68"/>
      <c r="E259" s="68"/>
      <c r="F259" s="68"/>
      <c r="G259" s="68"/>
      <c r="H259" s="68"/>
      <c r="I259" s="68"/>
      <c r="J259" s="68"/>
      <c r="K259" s="68"/>
      <c r="L259" s="68"/>
      <c r="M259" s="68"/>
      <c r="N259" s="68"/>
      <c r="O259" s="68"/>
      <c r="P259" s="68"/>
      <c r="Q259" s="125"/>
      <c r="R259" s="68"/>
    </row>
    <row r="260" spans="1:18" ht="33.75" customHeight="1">
      <c r="A260" s="68"/>
      <c r="B260" s="68"/>
      <c r="C260" s="68"/>
      <c r="D260" s="68"/>
      <c r="E260" s="68"/>
      <c r="F260" s="68"/>
      <c r="G260" s="68"/>
      <c r="H260" s="68"/>
      <c r="I260" s="68"/>
      <c r="J260" s="68"/>
      <c r="K260" s="68"/>
      <c r="L260" s="68"/>
      <c r="M260" s="68"/>
      <c r="N260" s="68"/>
      <c r="O260" s="68"/>
      <c r="P260" s="68"/>
      <c r="Q260" s="125"/>
      <c r="R260" s="68"/>
    </row>
    <row r="261" spans="1:18" ht="33.75" customHeight="1">
      <c r="A261" s="68"/>
      <c r="B261" s="68"/>
      <c r="C261" s="68"/>
      <c r="D261" s="68"/>
      <c r="E261" s="68"/>
      <c r="F261" s="68"/>
      <c r="G261" s="68"/>
      <c r="H261" s="68"/>
      <c r="I261" s="68"/>
      <c r="J261" s="68"/>
      <c r="K261" s="68"/>
      <c r="L261" s="68"/>
      <c r="M261" s="68"/>
      <c r="N261" s="68"/>
      <c r="O261" s="68"/>
      <c r="P261" s="68"/>
      <c r="Q261" s="125"/>
      <c r="R261" s="68"/>
    </row>
    <row r="262" spans="1:18" ht="33.75" customHeight="1">
      <c r="A262" s="68"/>
      <c r="B262" s="68"/>
      <c r="C262" s="68"/>
      <c r="D262" s="68"/>
      <c r="E262" s="68"/>
      <c r="F262" s="68"/>
      <c r="G262" s="68"/>
      <c r="H262" s="68"/>
      <c r="I262" s="68"/>
      <c r="J262" s="68"/>
      <c r="K262" s="68"/>
      <c r="L262" s="68"/>
      <c r="M262" s="68"/>
      <c r="N262" s="68"/>
      <c r="O262" s="68"/>
      <c r="P262" s="68"/>
      <c r="Q262" s="125"/>
      <c r="R262" s="68"/>
    </row>
    <row r="263" spans="1:18" ht="33.75" customHeight="1">
      <c r="A263" s="68"/>
      <c r="B263" s="68"/>
      <c r="C263" s="68"/>
      <c r="D263" s="68"/>
      <c r="E263" s="68"/>
      <c r="F263" s="68"/>
      <c r="G263" s="68"/>
      <c r="H263" s="68"/>
      <c r="I263" s="68"/>
      <c r="J263" s="68"/>
      <c r="K263" s="68"/>
      <c r="L263" s="68"/>
      <c r="M263" s="68"/>
      <c r="N263" s="68"/>
      <c r="O263" s="68"/>
      <c r="P263" s="68"/>
      <c r="Q263" s="125"/>
      <c r="R263" s="68"/>
    </row>
    <row r="264" spans="1:18" ht="33.75" customHeight="1">
      <c r="A264" s="68"/>
      <c r="B264" s="68"/>
      <c r="C264" s="68"/>
      <c r="D264" s="68"/>
      <c r="E264" s="68"/>
      <c r="F264" s="68"/>
      <c r="G264" s="68"/>
      <c r="H264" s="68"/>
      <c r="I264" s="68"/>
      <c r="J264" s="68"/>
      <c r="K264" s="68"/>
      <c r="L264" s="68"/>
      <c r="M264" s="68"/>
      <c r="N264" s="68"/>
      <c r="O264" s="68"/>
      <c r="P264" s="68"/>
      <c r="Q264" s="125"/>
      <c r="R264" s="68"/>
    </row>
    <row r="265" spans="1:18" ht="33.75" customHeight="1">
      <c r="A265" s="68"/>
      <c r="B265" s="68"/>
      <c r="C265" s="68"/>
      <c r="D265" s="68"/>
      <c r="E265" s="68"/>
      <c r="F265" s="68"/>
      <c r="G265" s="68"/>
      <c r="H265" s="68"/>
      <c r="I265" s="68"/>
      <c r="J265" s="68"/>
      <c r="K265" s="68"/>
      <c r="L265" s="68"/>
      <c r="M265" s="68"/>
      <c r="N265" s="68"/>
      <c r="O265" s="68"/>
      <c r="P265" s="68"/>
      <c r="Q265" s="125"/>
      <c r="R265" s="68"/>
    </row>
    <row r="266" spans="1:18" ht="33.75" customHeight="1">
      <c r="A266" s="68"/>
      <c r="B266" s="68"/>
      <c r="C266" s="68"/>
      <c r="D266" s="68"/>
      <c r="E266" s="68"/>
      <c r="F266" s="68"/>
      <c r="G266" s="68"/>
      <c r="H266" s="68"/>
      <c r="I266" s="68"/>
      <c r="J266" s="68"/>
      <c r="K266" s="68"/>
      <c r="L266" s="68"/>
      <c r="M266" s="68"/>
      <c r="N266" s="68"/>
      <c r="O266" s="68"/>
      <c r="P266" s="68"/>
      <c r="Q266" s="125"/>
      <c r="R266" s="68"/>
    </row>
    <row r="267" spans="1:18" ht="33.75" customHeight="1">
      <c r="A267" s="68"/>
      <c r="B267" s="68"/>
      <c r="C267" s="68"/>
      <c r="D267" s="68"/>
      <c r="E267" s="68"/>
      <c r="F267" s="68"/>
      <c r="G267" s="68"/>
      <c r="H267" s="68"/>
      <c r="I267" s="68"/>
      <c r="J267" s="68"/>
      <c r="K267" s="68"/>
      <c r="L267" s="68"/>
      <c r="M267" s="68"/>
      <c r="N267" s="68"/>
      <c r="O267" s="68"/>
      <c r="P267" s="68"/>
      <c r="Q267" s="125"/>
      <c r="R267" s="68"/>
    </row>
    <row r="268" spans="1:18" ht="33.75" customHeight="1">
      <c r="A268" s="68"/>
      <c r="B268" s="68"/>
      <c r="C268" s="68"/>
      <c r="D268" s="68"/>
      <c r="E268" s="68"/>
      <c r="F268" s="68"/>
      <c r="G268" s="68"/>
      <c r="H268" s="68"/>
      <c r="I268" s="68"/>
      <c r="J268" s="68"/>
      <c r="K268" s="68"/>
      <c r="L268" s="68"/>
      <c r="M268" s="68"/>
      <c r="N268" s="68"/>
      <c r="O268" s="68"/>
      <c r="P268" s="68"/>
      <c r="Q268" s="125"/>
      <c r="R268" s="68"/>
    </row>
    <row r="269" spans="1:18" ht="33.75" customHeight="1">
      <c r="A269" s="68"/>
      <c r="B269" s="68"/>
      <c r="C269" s="68"/>
      <c r="D269" s="68"/>
      <c r="E269" s="68"/>
      <c r="F269" s="68"/>
      <c r="G269" s="68"/>
      <c r="H269" s="68"/>
      <c r="I269" s="68"/>
      <c r="J269" s="68"/>
      <c r="K269" s="68"/>
      <c r="L269" s="68"/>
      <c r="M269" s="68"/>
      <c r="N269" s="68"/>
      <c r="O269" s="68"/>
      <c r="P269" s="68"/>
      <c r="Q269" s="125"/>
      <c r="R269" s="68"/>
    </row>
    <row r="270" spans="1:18" ht="33.75" customHeight="1">
      <c r="A270" s="68"/>
      <c r="B270" s="68"/>
      <c r="C270" s="68"/>
      <c r="D270" s="68"/>
      <c r="E270" s="68"/>
      <c r="F270" s="68"/>
      <c r="G270" s="68"/>
      <c r="H270" s="68"/>
      <c r="I270" s="68"/>
      <c r="J270" s="68"/>
      <c r="K270" s="68"/>
      <c r="L270" s="68"/>
      <c r="M270" s="68"/>
      <c r="N270" s="68"/>
      <c r="O270" s="68"/>
      <c r="P270" s="68"/>
      <c r="Q270" s="125"/>
      <c r="R270" s="68"/>
    </row>
    <row r="271" spans="1:18" ht="33.75" customHeight="1">
      <c r="A271" s="68"/>
      <c r="B271" s="68"/>
      <c r="C271" s="68"/>
      <c r="D271" s="68"/>
      <c r="E271" s="68"/>
      <c r="F271" s="68"/>
      <c r="G271" s="68"/>
      <c r="H271" s="68"/>
      <c r="I271" s="68"/>
      <c r="J271" s="68"/>
      <c r="K271" s="68"/>
      <c r="L271" s="68"/>
      <c r="M271" s="68"/>
      <c r="N271" s="68"/>
      <c r="O271" s="68"/>
      <c r="P271" s="68"/>
      <c r="Q271" s="125"/>
      <c r="R271" s="68"/>
    </row>
    <row r="272" spans="1:18" ht="33.75" customHeight="1">
      <c r="A272" s="68"/>
      <c r="B272" s="68"/>
      <c r="C272" s="68"/>
      <c r="D272" s="68"/>
      <c r="E272" s="68"/>
      <c r="F272" s="68"/>
      <c r="G272" s="68"/>
      <c r="H272" s="68"/>
      <c r="I272" s="68"/>
      <c r="J272" s="68"/>
      <c r="K272" s="68"/>
      <c r="L272" s="68"/>
      <c r="M272" s="68"/>
      <c r="N272" s="68"/>
      <c r="O272" s="68"/>
      <c r="P272" s="68"/>
      <c r="Q272" s="125"/>
      <c r="R272" s="68"/>
    </row>
    <row r="273" spans="1:18" ht="33.75" customHeight="1">
      <c r="A273" s="68"/>
      <c r="B273" s="68"/>
      <c r="C273" s="68"/>
      <c r="D273" s="68"/>
      <c r="E273" s="68"/>
      <c r="F273" s="68"/>
      <c r="G273" s="68"/>
      <c r="H273" s="68"/>
      <c r="I273" s="68"/>
      <c r="J273" s="68"/>
      <c r="K273" s="68"/>
      <c r="L273" s="68"/>
      <c r="M273" s="68"/>
      <c r="N273" s="68"/>
      <c r="O273" s="68"/>
      <c r="P273" s="68"/>
      <c r="Q273" s="125"/>
      <c r="R273" s="68"/>
    </row>
    <row r="274" spans="1:18" ht="33.75" customHeight="1">
      <c r="A274" s="68"/>
      <c r="B274" s="68"/>
      <c r="C274" s="68"/>
      <c r="D274" s="68"/>
      <c r="E274" s="68"/>
      <c r="F274" s="68"/>
      <c r="G274" s="68"/>
      <c r="H274" s="68"/>
      <c r="I274" s="68"/>
      <c r="J274" s="68"/>
      <c r="K274" s="68"/>
      <c r="L274" s="68"/>
      <c r="M274" s="68"/>
      <c r="N274" s="68"/>
      <c r="O274" s="68"/>
      <c r="P274" s="68"/>
      <c r="Q274" s="125"/>
      <c r="R274" s="68"/>
    </row>
    <row r="275" spans="1:18" ht="33.75" customHeight="1">
      <c r="A275" s="68"/>
      <c r="B275" s="68"/>
      <c r="C275" s="68"/>
      <c r="D275" s="68"/>
      <c r="E275" s="68"/>
      <c r="F275" s="68"/>
      <c r="G275" s="68"/>
      <c r="H275" s="68"/>
      <c r="I275" s="68"/>
      <c r="J275" s="68"/>
      <c r="K275" s="68"/>
      <c r="L275" s="68"/>
      <c r="M275" s="68"/>
      <c r="N275" s="68"/>
      <c r="O275" s="68"/>
      <c r="P275" s="68"/>
      <c r="Q275" s="125"/>
      <c r="R275" s="68"/>
    </row>
    <row r="276" spans="1:18" ht="33.75" customHeight="1">
      <c r="A276" s="68"/>
      <c r="B276" s="68"/>
      <c r="C276" s="68"/>
      <c r="D276" s="68"/>
      <c r="E276" s="68"/>
      <c r="F276" s="68"/>
      <c r="G276" s="68"/>
      <c r="H276" s="68"/>
      <c r="I276" s="68"/>
      <c r="J276" s="68"/>
      <c r="K276" s="68"/>
      <c r="L276" s="68"/>
      <c r="M276" s="68"/>
      <c r="N276" s="68"/>
      <c r="O276" s="68"/>
      <c r="P276" s="68"/>
      <c r="Q276" s="125"/>
      <c r="R276" s="68"/>
    </row>
    <row r="277" spans="1:18" ht="33.75" customHeight="1">
      <c r="A277" s="68"/>
      <c r="B277" s="68"/>
      <c r="C277" s="68"/>
      <c r="D277" s="68"/>
      <c r="E277" s="68"/>
      <c r="F277" s="68"/>
      <c r="G277" s="68"/>
      <c r="H277" s="68"/>
      <c r="I277" s="68"/>
      <c r="J277" s="68"/>
      <c r="K277" s="68"/>
      <c r="L277" s="68"/>
      <c r="M277" s="68"/>
      <c r="N277" s="68"/>
      <c r="O277" s="68"/>
      <c r="P277" s="68"/>
      <c r="Q277" s="125"/>
      <c r="R277" s="68"/>
    </row>
    <row r="278" spans="1:18" ht="33.75" customHeight="1">
      <c r="A278" s="68"/>
      <c r="B278" s="68"/>
      <c r="C278" s="68"/>
      <c r="D278" s="68"/>
      <c r="E278" s="68"/>
      <c r="F278" s="68"/>
      <c r="G278" s="68"/>
      <c r="H278" s="68"/>
      <c r="I278" s="68"/>
      <c r="J278" s="68"/>
      <c r="K278" s="68"/>
      <c r="L278" s="68"/>
      <c r="M278" s="68"/>
      <c r="N278" s="68"/>
      <c r="O278" s="68"/>
      <c r="P278" s="68"/>
      <c r="Q278" s="125"/>
      <c r="R278" s="68"/>
    </row>
    <row r="279" spans="1:18" ht="33.75" customHeight="1">
      <c r="A279" s="68"/>
      <c r="B279" s="68"/>
      <c r="C279" s="68"/>
      <c r="D279" s="68"/>
      <c r="E279" s="68"/>
      <c r="F279" s="68"/>
      <c r="G279" s="68"/>
      <c r="H279" s="68"/>
      <c r="I279" s="68"/>
      <c r="J279" s="68"/>
      <c r="K279" s="68"/>
      <c r="L279" s="68"/>
      <c r="M279" s="68"/>
      <c r="N279" s="68"/>
      <c r="O279" s="68"/>
      <c r="P279" s="68"/>
      <c r="Q279" s="125"/>
      <c r="R279" s="68"/>
    </row>
    <row r="280" spans="1:18" ht="33.75" customHeight="1">
      <c r="A280" s="68"/>
      <c r="B280" s="68"/>
      <c r="C280" s="68"/>
      <c r="D280" s="68"/>
      <c r="E280" s="68"/>
      <c r="F280" s="68"/>
      <c r="G280" s="68"/>
      <c r="H280" s="68"/>
      <c r="I280" s="68"/>
      <c r="J280" s="68"/>
      <c r="K280" s="68"/>
      <c r="L280" s="68"/>
      <c r="M280" s="68"/>
      <c r="N280" s="68"/>
      <c r="O280" s="68"/>
      <c r="P280" s="68"/>
      <c r="Q280" s="125"/>
      <c r="R280" s="68"/>
    </row>
    <row r="281" spans="1:18" ht="33.75" customHeight="1">
      <c r="A281" s="68"/>
      <c r="B281" s="68"/>
      <c r="C281" s="68"/>
      <c r="D281" s="68"/>
      <c r="E281" s="68"/>
      <c r="F281" s="68"/>
      <c r="G281" s="68"/>
      <c r="H281" s="68"/>
      <c r="I281" s="68"/>
      <c r="J281" s="68"/>
      <c r="K281" s="68"/>
      <c r="L281" s="68"/>
      <c r="M281" s="68"/>
      <c r="N281" s="68"/>
      <c r="O281" s="68"/>
      <c r="P281" s="68"/>
      <c r="Q281" s="125"/>
      <c r="R281" s="68"/>
    </row>
    <row r="282" spans="1:18" ht="33.75" customHeight="1">
      <c r="A282" s="68"/>
      <c r="B282" s="68"/>
      <c r="C282" s="68"/>
      <c r="D282" s="68"/>
      <c r="E282" s="68"/>
      <c r="F282" s="68"/>
      <c r="G282" s="68"/>
      <c r="H282" s="68"/>
      <c r="I282" s="68"/>
      <c r="J282" s="68"/>
      <c r="K282" s="68"/>
      <c r="L282" s="68"/>
      <c r="M282" s="68"/>
      <c r="N282" s="68"/>
      <c r="O282" s="68"/>
      <c r="P282" s="68"/>
      <c r="Q282" s="125"/>
      <c r="R282" s="68"/>
    </row>
    <row r="283" spans="1:18" ht="33.75" customHeight="1">
      <c r="A283" s="68"/>
      <c r="B283" s="68"/>
      <c r="C283" s="68"/>
      <c r="D283" s="68"/>
      <c r="E283" s="68"/>
      <c r="F283" s="68"/>
      <c r="G283" s="68"/>
      <c r="H283" s="68"/>
      <c r="I283" s="68"/>
      <c r="J283" s="68"/>
      <c r="K283" s="68"/>
      <c r="L283" s="68"/>
      <c r="M283" s="68"/>
      <c r="N283" s="68"/>
      <c r="O283" s="68"/>
      <c r="P283" s="68"/>
      <c r="Q283" s="125"/>
      <c r="R283" s="68"/>
    </row>
    <row r="284" spans="1:18" ht="33.75" customHeight="1">
      <c r="A284" s="68"/>
      <c r="B284" s="68"/>
      <c r="C284" s="68"/>
      <c r="D284" s="68"/>
      <c r="E284" s="68"/>
      <c r="F284" s="68"/>
      <c r="G284" s="68"/>
      <c r="H284" s="68"/>
      <c r="I284" s="68"/>
      <c r="J284" s="68"/>
      <c r="K284" s="68"/>
      <c r="L284" s="68"/>
      <c r="M284" s="68"/>
      <c r="N284" s="68"/>
      <c r="O284" s="68"/>
      <c r="P284" s="68"/>
      <c r="Q284" s="125"/>
      <c r="R284" s="68"/>
    </row>
    <row r="285" spans="1:18" ht="33.75" customHeight="1">
      <c r="A285" s="68"/>
      <c r="B285" s="68"/>
      <c r="C285" s="68"/>
      <c r="D285" s="68"/>
      <c r="E285" s="68"/>
      <c r="F285" s="68"/>
      <c r="G285" s="68"/>
      <c r="H285" s="68"/>
      <c r="I285" s="68"/>
      <c r="J285" s="68"/>
      <c r="K285" s="68"/>
      <c r="L285" s="68"/>
      <c r="M285" s="68"/>
      <c r="N285" s="68"/>
      <c r="O285" s="68"/>
      <c r="P285" s="68"/>
      <c r="Q285" s="125"/>
      <c r="R285" s="68"/>
    </row>
    <row r="286" spans="1:18" ht="33.75" customHeight="1">
      <c r="A286" s="68"/>
      <c r="B286" s="68"/>
      <c r="C286" s="68"/>
      <c r="D286" s="68"/>
      <c r="E286" s="68"/>
      <c r="F286" s="68"/>
      <c r="G286" s="68"/>
      <c r="H286" s="68"/>
      <c r="I286" s="68"/>
      <c r="J286" s="68"/>
      <c r="K286" s="68"/>
      <c r="L286" s="68"/>
      <c r="M286" s="68"/>
      <c r="N286" s="68"/>
      <c r="O286" s="68"/>
      <c r="P286" s="68"/>
      <c r="Q286" s="125"/>
      <c r="R286" s="68"/>
    </row>
    <row r="287" spans="1:18" ht="33.75" customHeight="1">
      <c r="A287" s="68"/>
      <c r="B287" s="68"/>
      <c r="C287" s="68"/>
      <c r="D287" s="68"/>
      <c r="E287" s="68"/>
      <c r="F287" s="68"/>
      <c r="G287" s="68"/>
      <c r="H287" s="68"/>
      <c r="I287" s="68"/>
      <c r="J287" s="68"/>
      <c r="K287" s="68"/>
      <c r="L287" s="68"/>
      <c r="M287" s="68"/>
      <c r="N287" s="68"/>
      <c r="O287" s="68"/>
      <c r="P287" s="68"/>
      <c r="Q287" s="125"/>
      <c r="R287" s="68"/>
    </row>
    <row r="288" spans="1:18" ht="33.75" customHeight="1">
      <c r="A288" s="68"/>
      <c r="B288" s="68"/>
      <c r="C288" s="68"/>
      <c r="D288" s="68"/>
      <c r="E288" s="68"/>
      <c r="F288" s="68"/>
      <c r="G288" s="68"/>
      <c r="H288" s="68"/>
      <c r="I288" s="68"/>
      <c r="J288" s="68"/>
      <c r="K288" s="68"/>
      <c r="L288" s="68"/>
      <c r="M288" s="68"/>
      <c r="N288" s="68"/>
      <c r="O288" s="68"/>
      <c r="P288" s="68"/>
      <c r="Q288" s="125"/>
      <c r="R288" s="68"/>
    </row>
    <row r="289" spans="1:18" ht="33.75" customHeight="1">
      <c r="A289" s="68"/>
      <c r="B289" s="68"/>
      <c r="C289" s="68"/>
      <c r="D289" s="68"/>
      <c r="E289" s="68"/>
      <c r="F289" s="68"/>
      <c r="G289" s="68"/>
      <c r="H289" s="68"/>
      <c r="I289" s="68"/>
      <c r="J289" s="68"/>
      <c r="K289" s="68"/>
      <c r="L289" s="68"/>
      <c r="M289" s="68"/>
      <c r="N289" s="68"/>
      <c r="O289" s="68"/>
      <c r="P289" s="68"/>
      <c r="Q289" s="125"/>
      <c r="R289" s="68"/>
    </row>
    <row r="290" spans="1:18" ht="33.75" customHeight="1">
      <c r="A290" s="68"/>
      <c r="B290" s="68"/>
      <c r="C290" s="68"/>
      <c r="D290" s="68"/>
      <c r="E290" s="68"/>
      <c r="F290" s="68"/>
      <c r="G290" s="68"/>
      <c r="H290" s="68"/>
      <c r="I290" s="68"/>
      <c r="J290" s="68"/>
      <c r="K290" s="68"/>
      <c r="L290" s="68"/>
      <c r="M290" s="68"/>
      <c r="N290" s="68"/>
      <c r="O290" s="68"/>
      <c r="P290" s="68"/>
      <c r="Q290" s="125"/>
      <c r="R290" s="68"/>
    </row>
    <row r="291" spans="1:18" ht="33.75" customHeight="1">
      <c r="A291" s="68"/>
      <c r="B291" s="68"/>
      <c r="C291" s="68"/>
      <c r="D291" s="68"/>
      <c r="E291" s="68"/>
      <c r="F291" s="68"/>
      <c r="G291" s="68"/>
      <c r="H291" s="68"/>
      <c r="I291" s="68"/>
      <c r="J291" s="68"/>
      <c r="K291" s="68"/>
      <c r="L291" s="68"/>
      <c r="M291" s="68"/>
      <c r="N291" s="68"/>
      <c r="O291" s="68"/>
      <c r="P291" s="68"/>
      <c r="Q291" s="125"/>
      <c r="R291" s="68"/>
    </row>
    <row r="292" spans="1:18" ht="33.75" customHeight="1">
      <c r="A292" s="68"/>
      <c r="B292" s="68"/>
      <c r="C292" s="68"/>
      <c r="D292" s="68"/>
      <c r="E292" s="68"/>
      <c r="F292" s="68"/>
      <c r="G292" s="68"/>
      <c r="H292" s="68"/>
      <c r="I292" s="68"/>
      <c r="J292" s="68"/>
      <c r="K292" s="68"/>
      <c r="L292" s="68"/>
      <c r="M292" s="68"/>
      <c r="N292" s="68"/>
      <c r="O292" s="68"/>
      <c r="P292" s="68"/>
      <c r="Q292" s="125"/>
      <c r="R292" s="68"/>
    </row>
    <row r="293" spans="1:18" ht="33.75" customHeight="1">
      <c r="A293" s="68"/>
      <c r="B293" s="68"/>
      <c r="C293" s="68"/>
      <c r="D293" s="68"/>
      <c r="E293" s="68"/>
      <c r="F293" s="68"/>
      <c r="G293" s="68"/>
      <c r="H293" s="68"/>
      <c r="I293" s="68"/>
      <c r="J293" s="68"/>
      <c r="K293" s="68"/>
      <c r="L293" s="68"/>
      <c r="M293" s="68"/>
      <c r="N293" s="68"/>
      <c r="O293" s="68"/>
      <c r="P293" s="68"/>
      <c r="Q293" s="125"/>
      <c r="R293" s="68"/>
    </row>
    <row r="294" spans="1:18" ht="33.75" customHeight="1">
      <c r="A294" s="68"/>
      <c r="B294" s="68"/>
      <c r="C294" s="68"/>
      <c r="D294" s="68"/>
      <c r="E294" s="68"/>
      <c r="F294" s="68"/>
      <c r="G294" s="68"/>
      <c r="H294" s="68"/>
      <c r="I294" s="68"/>
      <c r="J294" s="68"/>
      <c r="K294" s="68"/>
      <c r="L294" s="68"/>
      <c r="M294" s="68"/>
      <c r="N294" s="68"/>
      <c r="O294" s="68"/>
      <c r="P294" s="68"/>
      <c r="Q294" s="125"/>
      <c r="R294" s="68"/>
    </row>
    <row r="295" spans="1:18" ht="33.75" customHeight="1">
      <c r="A295" s="68"/>
      <c r="B295" s="68"/>
      <c r="C295" s="68"/>
      <c r="D295" s="68"/>
      <c r="E295" s="68"/>
      <c r="F295" s="68"/>
      <c r="G295" s="68"/>
      <c r="H295" s="68"/>
      <c r="I295" s="68"/>
      <c r="J295" s="68"/>
      <c r="K295" s="68"/>
      <c r="L295" s="68"/>
      <c r="M295" s="68"/>
      <c r="N295" s="68"/>
      <c r="O295" s="68"/>
      <c r="P295" s="68"/>
      <c r="Q295" s="125"/>
      <c r="R295" s="68"/>
    </row>
    <row r="296" spans="1:18" ht="33.75" customHeight="1">
      <c r="A296" s="68"/>
      <c r="B296" s="68"/>
      <c r="C296" s="68"/>
      <c r="D296" s="68"/>
      <c r="E296" s="68"/>
      <c r="F296" s="68"/>
      <c r="G296" s="68"/>
      <c r="H296" s="68"/>
      <c r="I296" s="68"/>
      <c r="J296" s="68"/>
      <c r="K296" s="68"/>
      <c r="L296" s="68"/>
      <c r="M296" s="68"/>
      <c r="N296" s="68"/>
      <c r="O296" s="68"/>
      <c r="P296" s="68"/>
      <c r="Q296" s="125"/>
      <c r="R296" s="68"/>
    </row>
    <row r="297" spans="1:18" ht="33.75" customHeight="1">
      <c r="A297" s="68"/>
      <c r="B297" s="68"/>
      <c r="C297" s="68"/>
      <c r="D297" s="68"/>
      <c r="E297" s="68"/>
      <c r="F297" s="68"/>
      <c r="G297" s="68"/>
      <c r="H297" s="68"/>
      <c r="I297" s="68"/>
      <c r="J297" s="68"/>
      <c r="K297" s="68"/>
      <c r="L297" s="68"/>
      <c r="M297" s="68"/>
      <c r="N297" s="68"/>
      <c r="O297" s="68"/>
      <c r="P297" s="68"/>
      <c r="Q297" s="125"/>
      <c r="R297" s="68"/>
    </row>
    <row r="298" spans="1:18" ht="33.75" customHeight="1">
      <c r="A298" s="68"/>
      <c r="B298" s="68"/>
      <c r="C298" s="68"/>
      <c r="D298" s="68"/>
      <c r="E298" s="68"/>
      <c r="F298" s="68"/>
      <c r="G298" s="68"/>
      <c r="H298" s="68"/>
      <c r="I298" s="68"/>
      <c r="J298" s="68"/>
      <c r="K298" s="68"/>
      <c r="L298" s="68"/>
      <c r="M298" s="68"/>
      <c r="N298" s="68"/>
      <c r="O298" s="68"/>
      <c r="P298" s="68"/>
      <c r="Q298" s="125"/>
      <c r="R298" s="68"/>
    </row>
    <row r="299" spans="1:18" ht="33.75" customHeight="1">
      <c r="A299" s="68"/>
      <c r="B299" s="68"/>
      <c r="C299" s="68"/>
      <c r="D299" s="68"/>
      <c r="E299" s="68"/>
      <c r="F299" s="68"/>
      <c r="G299" s="68"/>
      <c r="H299" s="68"/>
      <c r="I299" s="68"/>
      <c r="J299" s="68"/>
      <c r="K299" s="68"/>
      <c r="L299" s="68"/>
      <c r="M299" s="68"/>
      <c r="N299" s="68"/>
      <c r="O299" s="68"/>
      <c r="P299" s="68"/>
      <c r="Q299" s="125"/>
      <c r="R299" s="68"/>
    </row>
    <row r="300" spans="1:18" ht="33.75" customHeight="1">
      <c r="A300" s="68"/>
      <c r="B300" s="68"/>
      <c r="C300" s="68"/>
      <c r="D300" s="68"/>
      <c r="E300" s="68"/>
      <c r="F300" s="68"/>
      <c r="G300" s="68"/>
      <c r="H300" s="68"/>
      <c r="I300" s="68"/>
      <c r="J300" s="68"/>
      <c r="K300" s="68"/>
      <c r="L300" s="68"/>
      <c r="M300" s="68"/>
      <c r="N300" s="68"/>
      <c r="O300" s="68"/>
      <c r="P300" s="68"/>
      <c r="Q300" s="125"/>
      <c r="R300" s="68"/>
    </row>
    <row r="301" spans="1:18" ht="33.75" customHeight="1">
      <c r="A301" s="68"/>
      <c r="B301" s="68"/>
      <c r="C301" s="68"/>
      <c r="D301" s="68"/>
      <c r="E301" s="68"/>
      <c r="F301" s="68"/>
      <c r="G301" s="68"/>
      <c r="H301" s="68"/>
      <c r="I301" s="68"/>
      <c r="J301" s="68"/>
      <c r="K301" s="68"/>
      <c r="L301" s="68"/>
      <c r="M301" s="68"/>
      <c r="N301" s="68"/>
      <c r="O301" s="68"/>
      <c r="P301" s="68"/>
      <c r="Q301" s="125"/>
      <c r="R301" s="68"/>
    </row>
    <row r="302" spans="1:18" ht="33.75" customHeight="1">
      <c r="A302" s="68"/>
      <c r="B302" s="68"/>
      <c r="C302" s="68"/>
      <c r="D302" s="68"/>
      <c r="E302" s="68"/>
      <c r="F302" s="68"/>
      <c r="G302" s="68"/>
      <c r="H302" s="68"/>
      <c r="I302" s="68"/>
      <c r="J302" s="68"/>
      <c r="K302" s="68"/>
      <c r="L302" s="68"/>
      <c r="M302" s="68"/>
      <c r="N302" s="68"/>
      <c r="O302" s="68"/>
      <c r="P302" s="68"/>
      <c r="Q302" s="125"/>
      <c r="R302" s="68"/>
    </row>
    <row r="303" spans="1:18" ht="33.75" customHeight="1">
      <c r="A303" s="68"/>
      <c r="B303" s="68"/>
      <c r="C303" s="68"/>
      <c r="D303" s="68"/>
      <c r="E303" s="68"/>
      <c r="F303" s="68"/>
      <c r="G303" s="68"/>
      <c r="H303" s="68"/>
      <c r="I303" s="68"/>
      <c r="J303" s="68"/>
      <c r="K303" s="68"/>
      <c r="L303" s="68"/>
      <c r="M303" s="68"/>
      <c r="N303" s="68"/>
      <c r="O303" s="68"/>
      <c r="P303" s="68"/>
      <c r="Q303" s="125"/>
      <c r="R303" s="68"/>
    </row>
    <row r="304" spans="1:18" ht="33.75" customHeight="1">
      <c r="A304" s="68"/>
      <c r="B304" s="68"/>
      <c r="C304" s="68"/>
      <c r="D304" s="68"/>
      <c r="E304" s="68"/>
      <c r="F304" s="68"/>
      <c r="G304" s="68"/>
      <c r="H304" s="68"/>
      <c r="I304" s="68"/>
      <c r="J304" s="68"/>
      <c r="K304" s="68"/>
      <c r="L304" s="68"/>
      <c r="M304" s="68"/>
      <c r="N304" s="68"/>
      <c r="O304" s="68"/>
      <c r="P304" s="68"/>
      <c r="Q304" s="125"/>
      <c r="R304" s="68"/>
    </row>
    <row r="305" spans="1:18" ht="33.75" customHeight="1">
      <c r="A305" s="68"/>
      <c r="B305" s="68"/>
      <c r="C305" s="68"/>
      <c r="D305" s="68"/>
      <c r="E305" s="68"/>
      <c r="F305" s="68"/>
      <c r="G305" s="68"/>
      <c r="H305" s="68"/>
      <c r="I305" s="68"/>
      <c r="J305" s="68"/>
      <c r="K305" s="68"/>
      <c r="L305" s="68"/>
      <c r="M305" s="68"/>
      <c r="N305" s="68"/>
      <c r="O305" s="68"/>
      <c r="P305" s="68"/>
      <c r="Q305" s="125"/>
      <c r="R305" s="68"/>
    </row>
    <row r="306" spans="1:18" ht="33.75" customHeight="1">
      <c r="A306" s="68"/>
      <c r="B306" s="68"/>
      <c r="C306" s="68"/>
      <c r="D306" s="68"/>
      <c r="E306" s="68"/>
      <c r="F306" s="68"/>
      <c r="G306" s="68"/>
      <c r="H306" s="68"/>
      <c r="I306" s="68"/>
      <c r="J306" s="68"/>
      <c r="K306" s="68"/>
      <c r="L306" s="68"/>
      <c r="M306" s="68"/>
      <c r="N306" s="68"/>
      <c r="O306" s="68"/>
      <c r="P306" s="68"/>
      <c r="Q306" s="125"/>
      <c r="R306" s="68"/>
    </row>
    <row r="307" spans="1:18" ht="33.75" customHeight="1">
      <c r="A307" s="68"/>
      <c r="B307" s="68"/>
      <c r="C307" s="68"/>
      <c r="D307" s="68"/>
      <c r="E307" s="68"/>
      <c r="F307" s="68"/>
      <c r="G307" s="68"/>
      <c r="H307" s="68"/>
      <c r="I307" s="68"/>
      <c r="J307" s="68"/>
      <c r="K307" s="68"/>
      <c r="L307" s="68"/>
      <c r="M307" s="68"/>
      <c r="N307" s="68"/>
      <c r="O307" s="68"/>
      <c r="P307" s="68"/>
      <c r="Q307" s="125"/>
      <c r="R307" s="68"/>
    </row>
    <row r="308" spans="1:18" ht="33.75" customHeight="1">
      <c r="A308" s="68"/>
      <c r="B308" s="68"/>
      <c r="C308" s="68"/>
      <c r="D308" s="68"/>
      <c r="E308" s="68"/>
      <c r="F308" s="68"/>
      <c r="G308" s="68"/>
      <c r="H308" s="68"/>
      <c r="I308" s="68"/>
      <c r="J308" s="68"/>
      <c r="K308" s="68"/>
      <c r="L308" s="68"/>
      <c r="M308" s="68"/>
      <c r="N308" s="68"/>
      <c r="O308" s="68"/>
      <c r="P308" s="68"/>
      <c r="Q308" s="125"/>
      <c r="R308" s="68"/>
    </row>
    <row r="309" spans="1:18" ht="33.75" customHeight="1">
      <c r="A309" s="68"/>
      <c r="B309" s="68"/>
      <c r="C309" s="68"/>
      <c r="D309" s="68"/>
      <c r="E309" s="68"/>
      <c r="F309" s="68"/>
      <c r="G309" s="68"/>
      <c r="H309" s="68"/>
      <c r="I309" s="68"/>
      <c r="J309" s="68"/>
      <c r="K309" s="68"/>
      <c r="L309" s="68"/>
      <c r="M309" s="68"/>
      <c r="N309" s="68"/>
      <c r="O309" s="68"/>
      <c r="P309" s="68"/>
      <c r="Q309" s="125"/>
      <c r="R309" s="68"/>
    </row>
    <row r="310" spans="1:18" ht="33.75" customHeight="1">
      <c r="A310" s="68"/>
      <c r="B310" s="68"/>
      <c r="C310" s="68"/>
      <c r="D310" s="68"/>
      <c r="E310" s="68"/>
      <c r="F310" s="68"/>
      <c r="G310" s="68"/>
      <c r="H310" s="68"/>
      <c r="I310" s="68"/>
      <c r="J310" s="68"/>
      <c r="K310" s="68"/>
      <c r="L310" s="68"/>
      <c r="M310" s="68"/>
      <c r="N310" s="68"/>
      <c r="O310" s="68"/>
      <c r="P310" s="68"/>
      <c r="Q310" s="125"/>
      <c r="R310" s="68"/>
    </row>
    <row r="311" spans="1:18" ht="33.75" customHeight="1">
      <c r="A311" s="68"/>
      <c r="B311" s="68"/>
      <c r="C311" s="68"/>
      <c r="D311" s="68"/>
      <c r="E311" s="68"/>
      <c r="F311" s="68"/>
      <c r="G311" s="68"/>
      <c r="H311" s="68"/>
      <c r="I311" s="68"/>
      <c r="J311" s="68"/>
      <c r="K311" s="68"/>
      <c r="L311" s="68"/>
      <c r="M311" s="68"/>
      <c r="N311" s="68"/>
      <c r="O311" s="68"/>
      <c r="P311" s="68"/>
      <c r="Q311" s="125"/>
      <c r="R311" s="68"/>
    </row>
    <row r="312" spans="1:18" ht="33.75" customHeight="1">
      <c r="A312" s="68"/>
      <c r="B312" s="68"/>
      <c r="C312" s="68"/>
      <c r="D312" s="68"/>
      <c r="E312" s="68"/>
      <c r="F312" s="68"/>
      <c r="G312" s="68"/>
      <c r="H312" s="68"/>
      <c r="I312" s="68"/>
      <c r="J312" s="68"/>
      <c r="K312" s="68"/>
      <c r="L312" s="68"/>
      <c r="M312" s="68"/>
      <c r="N312" s="68"/>
      <c r="O312" s="68"/>
      <c r="P312" s="68"/>
      <c r="Q312" s="125"/>
      <c r="R312" s="68"/>
    </row>
    <row r="313" spans="1:18" ht="33.75" customHeight="1">
      <c r="A313" s="68"/>
      <c r="B313" s="68"/>
      <c r="C313" s="68"/>
      <c r="D313" s="68"/>
      <c r="E313" s="68"/>
      <c r="F313" s="68"/>
      <c r="G313" s="68"/>
      <c r="H313" s="68"/>
      <c r="I313" s="68"/>
      <c r="J313" s="68"/>
      <c r="K313" s="68"/>
      <c r="L313" s="68"/>
      <c r="M313" s="68"/>
      <c r="N313" s="68"/>
      <c r="O313" s="68"/>
      <c r="P313" s="68"/>
      <c r="Q313" s="125"/>
      <c r="R313" s="68"/>
    </row>
    <row r="314" spans="1:18" ht="33.75" customHeight="1">
      <c r="A314" s="68"/>
      <c r="B314" s="68"/>
      <c r="C314" s="68"/>
      <c r="D314" s="68"/>
      <c r="E314" s="68"/>
      <c r="F314" s="68"/>
      <c r="G314" s="68"/>
      <c r="H314" s="68"/>
      <c r="I314" s="68"/>
      <c r="J314" s="68"/>
      <c r="K314" s="68"/>
      <c r="L314" s="68"/>
      <c r="M314" s="68"/>
      <c r="N314" s="68"/>
      <c r="O314" s="68"/>
      <c r="P314" s="68"/>
      <c r="Q314" s="125"/>
      <c r="R314" s="68"/>
    </row>
    <row r="315" spans="1:18" ht="33.75" customHeight="1">
      <c r="A315" s="68"/>
      <c r="B315" s="68"/>
      <c r="C315" s="68"/>
      <c r="D315" s="68"/>
      <c r="E315" s="68"/>
      <c r="F315" s="68"/>
      <c r="G315" s="68"/>
      <c r="H315" s="68"/>
      <c r="I315" s="68"/>
      <c r="J315" s="68"/>
      <c r="K315" s="68"/>
      <c r="L315" s="68"/>
      <c r="M315" s="68"/>
      <c r="N315" s="68"/>
      <c r="O315" s="68"/>
      <c r="P315" s="68"/>
      <c r="Q315" s="125"/>
      <c r="R315" s="68"/>
    </row>
    <row r="316" spans="1:18" ht="33.75" customHeight="1">
      <c r="A316" s="68"/>
      <c r="B316" s="68"/>
      <c r="C316" s="68"/>
      <c r="D316" s="68"/>
      <c r="E316" s="68"/>
      <c r="F316" s="68"/>
      <c r="G316" s="68"/>
      <c r="H316" s="68"/>
      <c r="I316" s="68"/>
      <c r="J316" s="68"/>
      <c r="K316" s="68"/>
      <c r="L316" s="68"/>
      <c r="M316" s="68"/>
      <c r="N316" s="68"/>
      <c r="O316" s="68"/>
      <c r="P316" s="68"/>
      <c r="Q316" s="125"/>
      <c r="R316" s="68"/>
    </row>
    <row r="317" spans="1:18" ht="33.75" customHeight="1">
      <c r="A317" s="68"/>
      <c r="B317" s="68"/>
      <c r="C317" s="68"/>
      <c r="D317" s="68"/>
      <c r="E317" s="68"/>
      <c r="F317" s="68"/>
      <c r="G317" s="68"/>
      <c r="H317" s="68"/>
      <c r="I317" s="68"/>
      <c r="J317" s="68"/>
      <c r="K317" s="68"/>
      <c r="L317" s="68"/>
      <c r="M317" s="68"/>
      <c r="N317" s="68"/>
      <c r="O317" s="68"/>
      <c r="P317" s="68"/>
      <c r="Q317" s="125"/>
      <c r="R317" s="68"/>
    </row>
    <row r="318" spans="1:18" ht="33.75" customHeight="1">
      <c r="A318" s="68"/>
      <c r="B318" s="68"/>
      <c r="C318" s="68"/>
      <c r="D318" s="68"/>
      <c r="E318" s="68"/>
      <c r="F318" s="68"/>
      <c r="G318" s="68"/>
      <c r="H318" s="68"/>
      <c r="I318" s="68"/>
      <c r="J318" s="68"/>
      <c r="K318" s="68"/>
      <c r="L318" s="68"/>
      <c r="M318" s="68"/>
      <c r="N318" s="68"/>
      <c r="O318" s="68"/>
      <c r="P318" s="68"/>
      <c r="Q318" s="125"/>
      <c r="R318" s="68"/>
    </row>
    <row r="319" spans="1:18" ht="33.75" customHeight="1">
      <c r="A319" s="68"/>
      <c r="B319" s="68"/>
      <c r="C319" s="68"/>
      <c r="D319" s="68"/>
      <c r="E319" s="68"/>
      <c r="F319" s="68"/>
      <c r="G319" s="68"/>
      <c r="H319" s="68"/>
      <c r="I319" s="68"/>
      <c r="J319" s="68"/>
      <c r="K319" s="68"/>
      <c r="L319" s="68"/>
      <c r="M319" s="68"/>
      <c r="N319" s="68"/>
      <c r="O319" s="68"/>
      <c r="P319" s="68"/>
      <c r="Q319" s="125"/>
      <c r="R319" s="68"/>
    </row>
    <row r="320" spans="1:18" ht="33.75" customHeight="1">
      <c r="A320" s="68"/>
      <c r="B320" s="68"/>
      <c r="C320" s="68"/>
      <c r="D320" s="68"/>
      <c r="E320" s="68"/>
      <c r="F320" s="68"/>
      <c r="G320" s="68"/>
      <c r="H320" s="68"/>
      <c r="I320" s="68"/>
      <c r="J320" s="68"/>
      <c r="K320" s="68"/>
      <c r="L320" s="68"/>
      <c r="M320" s="68"/>
      <c r="N320" s="68"/>
      <c r="O320" s="68"/>
      <c r="P320" s="68"/>
      <c r="Q320" s="125"/>
      <c r="R320" s="68"/>
    </row>
    <row r="321" spans="1:18" ht="33.75" customHeight="1">
      <c r="A321" s="68"/>
      <c r="B321" s="68"/>
      <c r="C321" s="68"/>
      <c r="D321" s="68"/>
      <c r="E321" s="68"/>
      <c r="F321" s="68"/>
      <c r="G321" s="68"/>
      <c r="H321" s="68"/>
      <c r="I321" s="68"/>
      <c r="J321" s="68"/>
      <c r="K321" s="68"/>
      <c r="L321" s="68"/>
      <c r="M321" s="68"/>
      <c r="N321" s="68"/>
      <c r="O321" s="68"/>
      <c r="P321" s="68"/>
      <c r="Q321" s="125"/>
      <c r="R321" s="68"/>
    </row>
    <row r="322" spans="1:18" ht="33.75" customHeight="1">
      <c r="A322" s="68"/>
      <c r="B322" s="68"/>
      <c r="C322" s="68"/>
      <c r="D322" s="68"/>
      <c r="E322" s="68"/>
      <c r="F322" s="68"/>
      <c r="G322" s="68"/>
      <c r="H322" s="68"/>
      <c r="I322" s="68"/>
      <c r="J322" s="68"/>
      <c r="K322" s="68"/>
      <c r="L322" s="68"/>
      <c r="M322" s="68"/>
      <c r="N322" s="68"/>
      <c r="O322" s="68"/>
      <c r="P322" s="68"/>
      <c r="Q322" s="125"/>
      <c r="R322" s="68"/>
    </row>
    <row r="323" spans="1:18" ht="33.75" customHeight="1">
      <c r="A323" s="68"/>
      <c r="B323" s="68"/>
      <c r="C323" s="68"/>
      <c r="D323" s="68"/>
      <c r="E323" s="68"/>
      <c r="F323" s="68"/>
      <c r="G323" s="68"/>
      <c r="H323" s="68"/>
      <c r="I323" s="68"/>
      <c r="J323" s="68"/>
      <c r="K323" s="68"/>
      <c r="L323" s="68"/>
      <c r="M323" s="68"/>
      <c r="N323" s="68"/>
      <c r="O323" s="68"/>
      <c r="P323" s="68"/>
      <c r="Q323" s="125"/>
      <c r="R323" s="68"/>
    </row>
    <row r="324" spans="1:18" ht="33.75" customHeight="1">
      <c r="A324" s="68"/>
      <c r="B324" s="68"/>
      <c r="C324" s="68"/>
      <c r="D324" s="68"/>
      <c r="E324" s="68"/>
      <c r="F324" s="68"/>
      <c r="G324" s="68"/>
      <c r="H324" s="68"/>
      <c r="I324" s="68"/>
      <c r="J324" s="68"/>
      <c r="K324" s="68"/>
      <c r="L324" s="68"/>
      <c r="M324" s="68"/>
      <c r="N324" s="68"/>
      <c r="O324" s="68"/>
      <c r="P324" s="68"/>
      <c r="Q324" s="125"/>
      <c r="R324" s="68"/>
    </row>
    <row r="325" spans="1:18" ht="33.75" customHeight="1">
      <c r="A325" s="68"/>
      <c r="B325" s="68"/>
      <c r="C325" s="68"/>
      <c r="D325" s="68"/>
      <c r="E325" s="68"/>
      <c r="F325" s="68"/>
      <c r="G325" s="68"/>
      <c r="H325" s="68"/>
      <c r="I325" s="68"/>
      <c r="J325" s="68"/>
      <c r="K325" s="68"/>
      <c r="L325" s="68"/>
      <c r="M325" s="68"/>
      <c r="N325" s="68"/>
      <c r="O325" s="68"/>
      <c r="P325" s="68"/>
      <c r="Q325" s="125"/>
      <c r="R325" s="68"/>
    </row>
    <row r="326" spans="1:18" ht="33.75" customHeight="1">
      <c r="A326" s="68"/>
      <c r="B326" s="68"/>
      <c r="C326" s="68"/>
      <c r="D326" s="68"/>
      <c r="E326" s="68"/>
      <c r="F326" s="68"/>
      <c r="G326" s="68"/>
      <c r="H326" s="68"/>
      <c r="I326" s="68"/>
      <c r="J326" s="68"/>
      <c r="K326" s="68"/>
      <c r="L326" s="68"/>
      <c r="M326" s="68"/>
      <c r="N326" s="68"/>
      <c r="O326" s="68"/>
      <c r="P326" s="68"/>
      <c r="Q326" s="125"/>
      <c r="R326" s="68"/>
    </row>
    <row r="327" spans="1:18" ht="33.75" customHeight="1">
      <c r="A327" s="68"/>
      <c r="B327" s="68"/>
      <c r="C327" s="68"/>
      <c r="D327" s="68"/>
      <c r="E327" s="68"/>
      <c r="F327" s="68"/>
      <c r="G327" s="68"/>
      <c r="H327" s="68"/>
      <c r="I327" s="68"/>
      <c r="J327" s="68"/>
      <c r="K327" s="68"/>
      <c r="L327" s="68"/>
      <c r="M327" s="68"/>
      <c r="N327" s="68"/>
      <c r="O327" s="68"/>
      <c r="P327" s="68"/>
      <c r="Q327" s="125"/>
      <c r="R327" s="68"/>
    </row>
    <row r="328" spans="1:18" ht="33.75" customHeight="1">
      <c r="A328" s="68"/>
      <c r="B328" s="68"/>
      <c r="C328" s="68"/>
      <c r="D328" s="68"/>
      <c r="E328" s="68"/>
      <c r="F328" s="68"/>
      <c r="G328" s="68"/>
      <c r="H328" s="68"/>
      <c r="I328" s="68"/>
      <c r="J328" s="68"/>
      <c r="K328" s="68"/>
      <c r="L328" s="68"/>
      <c r="M328" s="68"/>
      <c r="N328" s="68"/>
      <c r="O328" s="68"/>
      <c r="P328" s="68"/>
      <c r="Q328" s="125"/>
      <c r="R328" s="68"/>
    </row>
    <row r="329" spans="1:18" ht="33.75" customHeight="1">
      <c r="A329" s="68"/>
      <c r="B329" s="68"/>
      <c r="C329" s="68"/>
      <c r="D329" s="68"/>
      <c r="E329" s="68"/>
      <c r="F329" s="68"/>
      <c r="G329" s="68"/>
      <c r="H329" s="68"/>
      <c r="I329" s="68"/>
      <c r="J329" s="68"/>
      <c r="K329" s="68"/>
      <c r="L329" s="68"/>
      <c r="M329" s="68"/>
      <c r="N329" s="68"/>
      <c r="O329" s="68"/>
      <c r="P329" s="68"/>
      <c r="Q329" s="125"/>
      <c r="R329" s="68"/>
    </row>
    <row r="330" spans="1:18" ht="33.75" customHeight="1">
      <c r="A330" s="68"/>
      <c r="B330" s="68"/>
      <c r="C330" s="68"/>
      <c r="D330" s="68"/>
      <c r="E330" s="68"/>
      <c r="F330" s="68"/>
      <c r="G330" s="68"/>
      <c r="H330" s="68"/>
      <c r="I330" s="68"/>
      <c r="J330" s="68"/>
      <c r="K330" s="68"/>
      <c r="L330" s="68"/>
      <c r="M330" s="68"/>
      <c r="N330" s="68"/>
      <c r="O330" s="68"/>
      <c r="P330" s="68"/>
      <c r="Q330" s="125"/>
      <c r="R330" s="68"/>
    </row>
    <row r="331" spans="1:18" ht="33.75" customHeight="1">
      <c r="A331" s="68"/>
      <c r="B331" s="68"/>
      <c r="C331" s="68"/>
      <c r="D331" s="68"/>
      <c r="E331" s="68"/>
      <c r="F331" s="68"/>
      <c r="G331" s="68"/>
      <c r="H331" s="68"/>
      <c r="I331" s="68"/>
      <c r="J331" s="68"/>
      <c r="K331" s="68"/>
      <c r="L331" s="68"/>
      <c r="M331" s="68"/>
      <c r="N331" s="68"/>
      <c r="O331" s="68"/>
      <c r="P331" s="68"/>
      <c r="Q331" s="125"/>
      <c r="R331" s="68"/>
    </row>
    <row r="332" spans="1:18" ht="33.75" customHeight="1">
      <c r="A332" s="68"/>
      <c r="B332" s="68"/>
      <c r="C332" s="68"/>
      <c r="D332" s="68"/>
      <c r="E332" s="68"/>
      <c r="F332" s="68"/>
      <c r="G332" s="68"/>
      <c r="H332" s="68"/>
      <c r="I332" s="68"/>
      <c r="J332" s="68"/>
      <c r="K332" s="68"/>
      <c r="L332" s="68"/>
      <c r="M332" s="68"/>
      <c r="N332" s="68"/>
      <c r="O332" s="68"/>
      <c r="P332" s="68"/>
      <c r="Q332" s="125"/>
      <c r="R332" s="68"/>
    </row>
    <row r="333" spans="1:18" ht="33.75" customHeight="1">
      <c r="A333" s="68"/>
      <c r="B333" s="68"/>
      <c r="C333" s="68"/>
      <c r="D333" s="68"/>
      <c r="E333" s="68"/>
      <c r="F333" s="68"/>
      <c r="G333" s="68"/>
      <c r="H333" s="68"/>
      <c r="I333" s="68"/>
      <c r="J333" s="68"/>
      <c r="K333" s="68"/>
      <c r="L333" s="68"/>
      <c r="M333" s="68"/>
      <c r="N333" s="68"/>
      <c r="O333" s="68"/>
      <c r="P333" s="68"/>
      <c r="Q333" s="125"/>
      <c r="R333" s="68"/>
    </row>
    <row r="334" spans="1:18" ht="33.75" customHeight="1">
      <c r="A334" s="68"/>
      <c r="B334" s="68"/>
      <c r="C334" s="68"/>
      <c r="D334" s="68"/>
      <c r="E334" s="68"/>
      <c r="F334" s="68"/>
      <c r="G334" s="68"/>
      <c r="H334" s="68"/>
      <c r="I334" s="68"/>
      <c r="J334" s="68"/>
      <c r="K334" s="68"/>
      <c r="L334" s="68"/>
      <c r="M334" s="68"/>
      <c r="N334" s="68"/>
      <c r="O334" s="68"/>
      <c r="P334" s="68"/>
      <c r="Q334" s="125"/>
      <c r="R334" s="68"/>
    </row>
    <row r="335" spans="1:18" ht="33.75" customHeight="1">
      <c r="A335" s="68"/>
      <c r="B335" s="68"/>
      <c r="C335" s="68"/>
      <c r="D335" s="68"/>
      <c r="E335" s="68"/>
      <c r="F335" s="68"/>
      <c r="G335" s="68"/>
      <c r="H335" s="68"/>
      <c r="I335" s="68"/>
      <c r="J335" s="68"/>
      <c r="K335" s="68"/>
      <c r="L335" s="68"/>
      <c r="M335" s="68"/>
      <c r="N335" s="68"/>
      <c r="O335" s="68"/>
      <c r="P335" s="68"/>
      <c r="Q335" s="125"/>
      <c r="R335" s="68"/>
    </row>
    <row r="336" spans="1:18" ht="33.75" customHeight="1">
      <c r="A336" s="68"/>
      <c r="B336" s="68"/>
      <c r="C336" s="68"/>
      <c r="D336" s="68"/>
      <c r="E336" s="68"/>
      <c r="F336" s="68"/>
      <c r="G336" s="68"/>
      <c r="H336" s="68"/>
      <c r="I336" s="68"/>
      <c r="J336" s="68"/>
      <c r="K336" s="68"/>
      <c r="L336" s="68"/>
      <c r="M336" s="68"/>
      <c r="N336" s="68"/>
      <c r="O336" s="68"/>
      <c r="P336" s="68"/>
      <c r="Q336" s="125"/>
      <c r="R336" s="68"/>
    </row>
    <row r="337" spans="1:18" ht="33.75" customHeight="1">
      <c r="A337" s="68"/>
      <c r="B337" s="68"/>
      <c r="C337" s="68"/>
      <c r="D337" s="68"/>
      <c r="E337" s="68"/>
      <c r="F337" s="68"/>
      <c r="G337" s="68"/>
      <c r="H337" s="68"/>
      <c r="I337" s="68"/>
      <c r="J337" s="68"/>
      <c r="K337" s="68"/>
      <c r="L337" s="68"/>
      <c r="M337" s="68"/>
      <c r="N337" s="68"/>
      <c r="O337" s="68"/>
      <c r="P337" s="68"/>
      <c r="Q337" s="125"/>
      <c r="R337" s="68"/>
    </row>
    <row r="338" spans="1:18" ht="33.75" customHeight="1">
      <c r="A338" s="68"/>
      <c r="B338" s="68"/>
      <c r="C338" s="68"/>
      <c r="D338" s="68"/>
      <c r="E338" s="68"/>
      <c r="F338" s="68"/>
      <c r="G338" s="68"/>
      <c r="H338" s="68"/>
      <c r="I338" s="68"/>
      <c r="J338" s="68"/>
      <c r="K338" s="68"/>
      <c r="L338" s="68"/>
      <c r="M338" s="68"/>
      <c r="N338" s="68"/>
      <c r="O338" s="68"/>
      <c r="P338" s="68"/>
      <c r="Q338" s="125"/>
      <c r="R338" s="68"/>
    </row>
    <row r="339" spans="1:18" ht="33.75" customHeight="1">
      <c r="A339" s="68"/>
      <c r="B339" s="68"/>
      <c r="C339" s="68"/>
      <c r="D339" s="68"/>
      <c r="E339" s="68"/>
      <c r="F339" s="68"/>
      <c r="G339" s="68"/>
      <c r="H339" s="68"/>
      <c r="I339" s="68"/>
      <c r="J339" s="68"/>
      <c r="K339" s="68"/>
      <c r="L339" s="68"/>
      <c r="M339" s="68"/>
      <c r="N339" s="68"/>
      <c r="O339" s="68"/>
      <c r="P339" s="68"/>
      <c r="Q339" s="125"/>
      <c r="R339" s="68"/>
    </row>
    <row r="340" spans="1:18" ht="33.75" customHeight="1">
      <c r="A340" s="68"/>
      <c r="B340" s="68"/>
      <c r="C340" s="68"/>
      <c r="D340" s="68"/>
      <c r="E340" s="68"/>
      <c r="F340" s="68"/>
      <c r="G340" s="68"/>
      <c r="H340" s="68"/>
      <c r="I340" s="68"/>
      <c r="J340" s="68"/>
      <c r="K340" s="68"/>
      <c r="L340" s="68"/>
      <c r="M340" s="68"/>
      <c r="N340" s="68"/>
      <c r="O340" s="68"/>
      <c r="P340" s="68"/>
      <c r="Q340" s="125"/>
      <c r="R340" s="68"/>
    </row>
    <row r="341" spans="1:18" ht="33.75" customHeight="1">
      <c r="A341" s="68"/>
      <c r="B341" s="68"/>
      <c r="C341" s="68"/>
      <c r="D341" s="68"/>
      <c r="E341" s="68"/>
      <c r="F341" s="68"/>
      <c r="G341" s="68"/>
      <c r="H341" s="68"/>
      <c r="I341" s="68"/>
      <c r="J341" s="68"/>
      <c r="K341" s="68"/>
      <c r="L341" s="68"/>
      <c r="M341" s="68"/>
      <c r="N341" s="68"/>
      <c r="O341" s="68"/>
      <c r="P341" s="68"/>
      <c r="Q341" s="125"/>
      <c r="R341" s="68"/>
    </row>
    <row r="342" spans="1:18" ht="33.75" customHeight="1">
      <c r="A342" s="68"/>
      <c r="B342" s="68"/>
      <c r="C342" s="68"/>
      <c r="D342" s="68"/>
      <c r="E342" s="68"/>
      <c r="F342" s="68"/>
      <c r="G342" s="68"/>
      <c r="H342" s="68"/>
      <c r="I342" s="68"/>
      <c r="J342" s="68"/>
      <c r="K342" s="68"/>
      <c r="L342" s="68"/>
      <c r="M342" s="68"/>
      <c r="N342" s="68"/>
      <c r="O342" s="68"/>
      <c r="P342" s="68"/>
      <c r="Q342" s="125"/>
      <c r="R342" s="68"/>
    </row>
    <row r="343" spans="1:18" ht="33.75" customHeight="1">
      <c r="A343" s="68"/>
      <c r="B343" s="68"/>
      <c r="C343" s="68"/>
      <c r="D343" s="68"/>
      <c r="E343" s="68"/>
      <c r="F343" s="68"/>
      <c r="G343" s="68"/>
      <c r="H343" s="68"/>
      <c r="I343" s="68"/>
      <c r="J343" s="68"/>
      <c r="K343" s="68"/>
      <c r="L343" s="68"/>
      <c r="M343" s="68"/>
      <c r="N343" s="68"/>
      <c r="O343" s="68"/>
      <c r="P343" s="68"/>
      <c r="Q343" s="125"/>
      <c r="R343" s="68"/>
    </row>
    <row r="344" spans="1:18" ht="33.75" customHeight="1">
      <c r="A344" s="68"/>
      <c r="B344" s="68"/>
      <c r="C344" s="68"/>
      <c r="D344" s="68"/>
      <c r="E344" s="68"/>
      <c r="F344" s="68"/>
      <c r="G344" s="68"/>
      <c r="H344" s="68"/>
      <c r="I344" s="68"/>
      <c r="J344" s="68"/>
      <c r="K344" s="68"/>
      <c r="L344" s="68"/>
      <c r="M344" s="68"/>
      <c r="N344" s="68"/>
      <c r="O344" s="68"/>
      <c r="P344" s="68"/>
      <c r="Q344" s="125"/>
      <c r="R344" s="68"/>
    </row>
    <row r="345" spans="1:18" ht="33.75" customHeight="1">
      <c r="A345" s="68"/>
      <c r="B345" s="68"/>
      <c r="C345" s="68"/>
      <c r="D345" s="68"/>
      <c r="E345" s="68"/>
      <c r="F345" s="68"/>
      <c r="G345" s="68"/>
      <c r="H345" s="68"/>
      <c r="I345" s="68"/>
      <c r="J345" s="68"/>
      <c r="K345" s="68"/>
      <c r="L345" s="68"/>
      <c r="M345" s="68"/>
      <c r="N345" s="68"/>
      <c r="O345" s="68"/>
      <c r="P345" s="68"/>
      <c r="Q345" s="125"/>
      <c r="R345" s="68"/>
    </row>
    <row r="346" spans="1:18" ht="33.75" customHeight="1">
      <c r="A346" s="68"/>
      <c r="B346" s="68"/>
      <c r="C346" s="68"/>
      <c r="D346" s="68"/>
      <c r="E346" s="68"/>
      <c r="F346" s="68"/>
      <c r="G346" s="68"/>
      <c r="H346" s="68"/>
      <c r="I346" s="68"/>
      <c r="J346" s="68"/>
      <c r="K346" s="68"/>
      <c r="L346" s="68"/>
      <c r="M346" s="68"/>
      <c r="N346" s="68"/>
      <c r="O346" s="68"/>
      <c r="P346" s="68"/>
      <c r="Q346" s="125"/>
      <c r="R346" s="68"/>
    </row>
    <row r="347" spans="1:18" ht="33.75" customHeight="1">
      <c r="A347" s="68"/>
      <c r="B347" s="68"/>
      <c r="C347" s="68"/>
      <c r="D347" s="68"/>
      <c r="E347" s="68"/>
      <c r="F347" s="68"/>
      <c r="G347" s="68"/>
      <c r="H347" s="68"/>
      <c r="I347" s="68"/>
      <c r="J347" s="68"/>
      <c r="K347" s="68"/>
      <c r="L347" s="68"/>
      <c r="M347" s="68"/>
      <c r="N347" s="68"/>
      <c r="O347" s="68"/>
      <c r="P347" s="68"/>
      <c r="Q347" s="125"/>
      <c r="R347" s="68"/>
    </row>
    <row r="348" spans="1:18" ht="33.75" customHeight="1">
      <c r="A348" s="68"/>
      <c r="B348" s="68"/>
      <c r="C348" s="68"/>
      <c r="D348" s="68"/>
      <c r="E348" s="68"/>
      <c r="F348" s="68"/>
      <c r="G348" s="68"/>
      <c r="H348" s="68"/>
      <c r="I348" s="68"/>
      <c r="J348" s="68"/>
      <c r="K348" s="68"/>
      <c r="L348" s="68"/>
      <c r="M348" s="68"/>
      <c r="N348" s="68"/>
      <c r="O348" s="68"/>
      <c r="P348" s="68"/>
      <c r="Q348" s="125"/>
      <c r="R348" s="68"/>
    </row>
    <row r="349" spans="1:18" ht="33.75" customHeight="1">
      <c r="A349" s="68"/>
      <c r="B349" s="68"/>
      <c r="C349" s="68"/>
      <c r="D349" s="68"/>
      <c r="E349" s="68"/>
      <c r="F349" s="68"/>
      <c r="G349" s="68"/>
      <c r="H349" s="68"/>
      <c r="I349" s="68"/>
      <c r="J349" s="68"/>
      <c r="K349" s="68"/>
      <c r="L349" s="68"/>
      <c r="M349" s="68"/>
      <c r="N349" s="68"/>
      <c r="O349" s="68"/>
      <c r="P349" s="68"/>
      <c r="Q349" s="125"/>
      <c r="R349" s="68"/>
    </row>
    <row r="350" spans="1:18" ht="33.75" customHeight="1">
      <c r="A350" s="68"/>
      <c r="B350" s="68"/>
      <c r="C350" s="68"/>
      <c r="D350" s="68"/>
      <c r="E350" s="68"/>
      <c r="F350" s="68"/>
      <c r="G350" s="68"/>
      <c r="H350" s="68"/>
      <c r="I350" s="68"/>
      <c r="J350" s="68"/>
      <c r="K350" s="68"/>
      <c r="L350" s="68"/>
      <c r="M350" s="68"/>
      <c r="N350" s="68"/>
      <c r="O350" s="68"/>
      <c r="P350" s="68"/>
      <c r="Q350" s="125"/>
      <c r="R350" s="68"/>
    </row>
    <row r="351" spans="1:18" ht="33.75" customHeight="1">
      <c r="A351" s="68"/>
      <c r="B351" s="68"/>
      <c r="C351" s="68"/>
      <c r="D351" s="68"/>
      <c r="E351" s="68"/>
      <c r="F351" s="68"/>
      <c r="G351" s="68"/>
      <c r="H351" s="68"/>
      <c r="I351" s="68"/>
      <c r="J351" s="68"/>
      <c r="K351" s="68"/>
      <c r="L351" s="68"/>
      <c r="M351" s="68"/>
      <c r="N351" s="68"/>
      <c r="O351" s="68"/>
      <c r="P351" s="68"/>
      <c r="Q351" s="125"/>
      <c r="R351" s="68"/>
    </row>
    <row r="352" spans="1:18" ht="33.75" customHeight="1">
      <c r="A352" s="68"/>
      <c r="B352" s="68"/>
      <c r="C352" s="68"/>
      <c r="D352" s="68"/>
      <c r="E352" s="68"/>
      <c r="F352" s="68"/>
      <c r="G352" s="68"/>
      <c r="H352" s="68"/>
      <c r="I352" s="68"/>
      <c r="J352" s="68"/>
      <c r="K352" s="68"/>
      <c r="L352" s="68"/>
      <c r="M352" s="68"/>
      <c r="N352" s="68"/>
      <c r="O352" s="68"/>
      <c r="P352" s="68"/>
      <c r="Q352" s="125"/>
      <c r="R352" s="68"/>
    </row>
    <row r="353" spans="1:18" ht="33.75" customHeight="1">
      <c r="A353" s="68"/>
      <c r="B353" s="68"/>
      <c r="C353" s="68"/>
      <c r="D353" s="68"/>
      <c r="E353" s="68"/>
      <c r="F353" s="68"/>
      <c r="G353" s="68"/>
      <c r="H353" s="68"/>
      <c r="I353" s="68"/>
      <c r="J353" s="68"/>
      <c r="K353" s="68"/>
      <c r="L353" s="68"/>
      <c r="M353" s="68"/>
      <c r="N353" s="68"/>
      <c r="O353" s="68"/>
      <c r="P353" s="68"/>
      <c r="Q353" s="125"/>
      <c r="R353" s="68"/>
    </row>
    <row r="354" spans="1:18" ht="33.75" customHeight="1">
      <c r="A354" s="68"/>
      <c r="B354" s="68"/>
      <c r="C354" s="68"/>
      <c r="D354" s="68"/>
      <c r="E354" s="68"/>
      <c r="F354" s="68"/>
      <c r="G354" s="68"/>
      <c r="H354" s="68"/>
      <c r="I354" s="68"/>
      <c r="J354" s="68"/>
      <c r="K354" s="68"/>
      <c r="L354" s="68"/>
      <c r="M354" s="68"/>
      <c r="N354" s="68"/>
      <c r="O354" s="68"/>
      <c r="P354" s="68"/>
      <c r="Q354" s="125"/>
      <c r="R354" s="68"/>
    </row>
    <row r="355" spans="1:18" ht="33.75" customHeight="1">
      <c r="A355" s="68"/>
      <c r="B355" s="68"/>
      <c r="C355" s="68"/>
      <c r="D355" s="68"/>
      <c r="E355" s="68"/>
      <c r="F355" s="68"/>
      <c r="G355" s="68"/>
      <c r="H355" s="68"/>
      <c r="I355" s="68"/>
      <c r="J355" s="68"/>
      <c r="K355" s="68"/>
      <c r="L355" s="68"/>
      <c r="M355" s="68"/>
      <c r="N355" s="68"/>
      <c r="O355" s="68"/>
      <c r="P355" s="68"/>
      <c r="Q355" s="125"/>
      <c r="R355" s="68"/>
    </row>
    <row r="356" spans="1:18" ht="33.75" customHeight="1">
      <c r="A356" s="68"/>
      <c r="B356" s="68"/>
      <c r="C356" s="68"/>
      <c r="D356" s="68"/>
      <c r="E356" s="68"/>
      <c r="F356" s="68"/>
      <c r="G356" s="68"/>
      <c r="H356" s="68"/>
      <c r="I356" s="68"/>
      <c r="J356" s="68"/>
      <c r="K356" s="68"/>
      <c r="L356" s="68"/>
      <c r="M356" s="68"/>
      <c r="N356" s="68"/>
      <c r="O356" s="68"/>
      <c r="P356" s="68"/>
      <c r="Q356" s="125"/>
      <c r="R356" s="68"/>
    </row>
    <row r="357" spans="1:18" ht="33.75" customHeight="1">
      <c r="A357" s="68"/>
      <c r="B357" s="68"/>
      <c r="C357" s="68"/>
      <c r="D357" s="68"/>
      <c r="E357" s="68"/>
      <c r="F357" s="68"/>
      <c r="G357" s="68"/>
      <c r="H357" s="68"/>
      <c r="I357" s="68"/>
      <c r="J357" s="68"/>
      <c r="K357" s="68"/>
      <c r="L357" s="68"/>
      <c r="M357" s="68"/>
      <c r="N357" s="68"/>
      <c r="O357" s="68"/>
      <c r="P357" s="68"/>
      <c r="Q357" s="125"/>
      <c r="R357" s="68"/>
    </row>
    <row r="358" spans="1:18" ht="33.75" customHeight="1">
      <c r="A358" s="68"/>
      <c r="B358" s="68"/>
      <c r="C358" s="68"/>
      <c r="D358" s="68"/>
      <c r="E358" s="68"/>
      <c r="F358" s="68"/>
      <c r="G358" s="68"/>
      <c r="H358" s="68"/>
      <c r="I358" s="68"/>
      <c r="J358" s="68"/>
      <c r="K358" s="68"/>
      <c r="L358" s="68"/>
      <c r="M358" s="68"/>
      <c r="N358" s="68"/>
      <c r="O358" s="68"/>
      <c r="P358" s="68"/>
      <c r="Q358" s="125"/>
      <c r="R358" s="68"/>
    </row>
    <row r="359" spans="1:18" ht="33.75" customHeight="1">
      <c r="A359" s="68"/>
      <c r="B359" s="68"/>
      <c r="C359" s="68"/>
      <c r="D359" s="68"/>
      <c r="E359" s="68"/>
      <c r="F359" s="68"/>
      <c r="G359" s="68"/>
      <c r="H359" s="68"/>
      <c r="I359" s="68"/>
      <c r="J359" s="68"/>
      <c r="K359" s="68"/>
      <c r="L359" s="68"/>
      <c r="M359" s="68"/>
      <c r="N359" s="68"/>
      <c r="O359" s="68"/>
      <c r="P359" s="68"/>
      <c r="Q359" s="125"/>
      <c r="R359" s="68"/>
    </row>
    <row r="360" spans="1:18" ht="33.75" customHeight="1">
      <c r="A360" s="68"/>
      <c r="B360" s="68"/>
      <c r="C360" s="68"/>
      <c r="D360" s="68"/>
      <c r="E360" s="68"/>
      <c r="F360" s="68"/>
      <c r="G360" s="68"/>
      <c r="H360" s="68"/>
      <c r="I360" s="68"/>
      <c r="J360" s="68"/>
      <c r="K360" s="68"/>
      <c r="L360" s="68"/>
      <c r="M360" s="68"/>
      <c r="N360" s="68"/>
      <c r="O360" s="68"/>
      <c r="P360" s="68"/>
      <c r="Q360" s="125"/>
      <c r="R360" s="68"/>
    </row>
    <row r="361" spans="1:18" ht="33.75" customHeight="1">
      <c r="A361" s="68"/>
      <c r="B361" s="68"/>
      <c r="C361" s="68"/>
      <c r="D361" s="68"/>
      <c r="E361" s="68"/>
      <c r="F361" s="68"/>
      <c r="G361" s="68"/>
      <c r="H361" s="68"/>
      <c r="I361" s="68"/>
      <c r="J361" s="68"/>
      <c r="K361" s="68"/>
      <c r="L361" s="68"/>
      <c r="M361" s="68"/>
      <c r="N361" s="68"/>
      <c r="O361" s="68"/>
      <c r="P361" s="68"/>
      <c r="Q361" s="125"/>
      <c r="R361" s="68"/>
    </row>
    <row r="362" spans="1:18" ht="33.75" customHeight="1">
      <c r="A362" s="68"/>
      <c r="B362" s="68"/>
      <c r="C362" s="68"/>
      <c r="D362" s="68"/>
      <c r="E362" s="68"/>
      <c r="F362" s="68"/>
      <c r="G362" s="68"/>
      <c r="H362" s="68"/>
      <c r="I362" s="68"/>
      <c r="J362" s="68"/>
      <c r="K362" s="68"/>
      <c r="L362" s="68"/>
      <c r="M362" s="68"/>
      <c r="N362" s="68"/>
      <c r="O362" s="68"/>
      <c r="P362" s="68"/>
      <c r="Q362" s="125"/>
      <c r="R362" s="68"/>
    </row>
    <row r="363" spans="1:18" ht="33.75" customHeight="1">
      <c r="A363" s="68"/>
      <c r="B363" s="68"/>
      <c r="C363" s="68"/>
      <c r="D363" s="68"/>
      <c r="E363" s="68"/>
      <c r="F363" s="68"/>
      <c r="G363" s="68"/>
      <c r="H363" s="68"/>
      <c r="I363" s="68"/>
      <c r="J363" s="68"/>
      <c r="K363" s="68"/>
      <c r="L363" s="68"/>
      <c r="M363" s="68"/>
      <c r="N363" s="68"/>
      <c r="O363" s="68"/>
      <c r="P363" s="68"/>
      <c r="Q363" s="125"/>
      <c r="R363" s="68"/>
    </row>
    <row r="364" spans="1:18" ht="33.75" customHeight="1">
      <c r="A364" s="68"/>
      <c r="B364" s="68"/>
      <c r="C364" s="68"/>
      <c r="D364" s="68"/>
      <c r="E364" s="68"/>
      <c r="F364" s="68"/>
      <c r="G364" s="68"/>
      <c r="H364" s="68"/>
      <c r="I364" s="68"/>
      <c r="J364" s="68"/>
      <c r="K364" s="68"/>
      <c r="L364" s="68"/>
      <c r="M364" s="68"/>
      <c r="N364" s="68"/>
      <c r="O364" s="68"/>
      <c r="P364" s="68"/>
      <c r="Q364" s="125"/>
      <c r="R364" s="68"/>
    </row>
    <row r="365" spans="1:18" ht="33.75" customHeight="1">
      <c r="A365" s="68"/>
      <c r="B365" s="68"/>
      <c r="C365" s="68"/>
      <c r="D365" s="68"/>
      <c r="E365" s="68"/>
      <c r="F365" s="68"/>
      <c r="G365" s="68"/>
      <c r="H365" s="68"/>
      <c r="I365" s="68"/>
      <c r="J365" s="68"/>
      <c r="K365" s="68"/>
      <c r="L365" s="68"/>
      <c r="M365" s="68"/>
      <c r="N365" s="68"/>
      <c r="O365" s="68"/>
      <c r="P365" s="68"/>
      <c r="Q365" s="125"/>
      <c r="R365" s="68"/>
    </row>
    <row r="366" spans="1:18" ht="33.75" customHeight="1">
      <c r="A366" s="68"/>
      <c r="B366" s="68"/>
      <c r="C366" s="68"/>
      <c r="D366" s="68"/>
      <c r="E366" s="68"/>
      <c r="F366" s="68"/>
      <c r="G366" s="68"/>
      <c r="H366" s="68"/>
      <c r="I366" s="68"/>
      <c r="J366" s="68"/>
      <c r="K366" s="68"/>
      <c r="L366" s="68"/>
      <c r="M366" s="68"/>
      <c r="N366" s="68"/>
      <c r="O366" s="68"/>
      <c r="P366" s="68"/>
      <c r="Q366" s="125"/>
      <c r="R366" s="68"/>
    </row>
    <row r="367" spans="1:18" ht="33.75" customHeight="1">
      <c r="A367" s="68"/>
      <c r="B367" s="68"/>
      <c r="C367" s="68"/>
      <c r="D367" s="68"/>
      <c r="E367" s="68"/>
      <c r="F367" s="68"/>
      <c r="G367" s="68"/>
      <c r="H367" s="68"/>
      <c r="I367" s="68"/>
      <c r="J367" s="68"/>
      <c r="K367" s="68"/>
      <c r="L367" s="68"/>
      <c r="M367" s="68"/>
      <c r="N367" s="68"/>
      <c r="O367" s="68"/>
      <c r="P367" s="68"/>
      <c r="Q367" s="125"/>
      <c r="R367" s="68"/>
    </row>
    <row r="368" spans="1:18" ht="33.75" customHeight="1">
      <c r="A368" s="68"/>
      <c r="B368" s="68"/>
      <c r="C368" s="68"/>
      <c r="D368" s="68"/>
      <c r="E368" s="68"/>
      <c r="F368" s="68"/>
      <c r="G368" s="68"/>
      <c r="H368" s="68"/>
      <c r="I368" s="68"/>
      <c r="J368" s="68"/>
      <c r="K368" s="68"/>
      <c r="L368" s="68"/>
      <c r="M368" s="68"/>
      <c r="N368" s="68"/>
      <c r="O368" s="68"/>
      <c r="P368" s="68"/>
      <c r="Q368" s="125"/>
      <c r="R368" s="68"/>
    </row>
    <row r="369" spans="1:18" ht="33.75" customHeight="1">
      <c r="A369" s="68"/>
      <c r="B369" s="68"/>
      <c r="C369" s="68"/>
      <c r="D369" s="68"/>
      <c r="E369" s="68"/>
      <c r="F369" s="68"/>
      <c r="G369" s="68"/>
      <c r="H369" s="68"/>
      <c r="I369" s="68"/>
      <c r="J369" s="68"/>
      <c r="K369" s="68"/>
      <c r="L369" s="68"/>
      <c r="M369" s="68"/>
      <c r="N369" s="68"/>
      <c r="O369" s="68"/>
      <c r="P369" s="68"/>
      <c r="Q369" s="125"/>
      <c r="R369" s="68"/>
    </row>
    <row r="370" spans="1:18" ht="33.75" customHeight="1">
      <c r="A370" s="68"/>
      <c r="B370" s="68"/>
      <c r="C370" s="68"/>
      <c r="D370" s="68"/>
      <c r="E370" s="68"/>
      <c r="F370" s="68"/>
      <c r="G370" s="68"/>
      <c r="H370" s="68"/>
      <c r="I370" s="68"/>
      <c r="J370" s="68"/>
      <c r="K370" s="68"/>
      <c r="L370" s="68"/>
      <c r="M370" s="68"/>
      <c r="N370" s="68"/>
      <c r="O370" s="68"/>
      <c r="P370" s="68"/>
      <c r="Q370" s="125"/>
      <c r="R370" s="68"/>
    </row>
    <row r="371" spans="1:18" ht="33.75" customHeight="1">
      <c r="A371" s="68"/>
      <c r="B371" s="68"/>
      <c r="C371" s="68"/>
      <c r="D371" s="68"/>
      <c r="E371" s="68"/>
      <c r="F371" s="68"/>
      <c r="G371" s="68"/>
      <c r="H371" s="68"/>
      <c r="I371" s="68"/>
      <c r="J371" s="68"/>
      <c r="K371" s="68"/>
      <c r="L371" s="68"/>
      <c r="M371" s="68"/>
      <c r="N371" s="68"/>
      <c r="O371" s="68"/>
      <c r="P371" s="68"/>
      <c r="Q371" s="125"/>
      <c r="R371" s="68"/>
    </row>
    <row r="372" spans="1:18" ht="33.75" customHeight="1">
      <c r="A372" s="68"/>
      <c r="B372" s="68"/>
      <c r="C372" s="68"/>
      <c r="D372" s="68"/>
      <c r="E372" s="68"/>
      <c r="F372" s="68"/>
      <c r="G372" s="68"/>
      <c r="H372" s="68"/>
      <c r="I372" s="68"/>
      <c r="J372" s="68"/>
      <c r="K372" s="68"/>
      <c r="L372" s="68"/>
      <c r="M372" s="68"/>
      <c r="N372" s="68"/>
      <c r="O372" s="68"/>
      <c r="P372" s="68"/>
      <c r="Q372" s="125"/>
      <c r="R372" s="68"/>
    </row>
    <row r="373" spans="1:18" ht="33.75" customHeight="1">
      <c r="A373" s="68"/>
      <c r="B373" s="68"/>
      <c r="C373" s="68"/>
      <c r="D373" s="68"/>
      <c r="E373" s="68"/>
      <c r="F373" s="68"/>
      <c r="G373" s="68"/>
      <c r="H373" s="68"/>
      <c r="I373" s="68"/>
      <c r="J373" s="68"/>
      <c r="K373" s="68"/>
      <c r="L373" s="68"/>
      <c r="M373" s="68"/>
      <c r="N373" s="68"/>
      <c r="O373" s="68"/>
      <c r="P373" s="68"/>
      <c r="Q373" s="125"/>
      <c r="R373" s="68"/>
    </row>
    <row r="374" spans="1:18" ht="33.75" customHeight="1">
      <c r="A374" s="68"/>
      <c r="B374" s="68"/>
      <c r="C374" s="68"/>
      <c r="D374" s="68"/>
      <c r="E374" s="68"/>
      <c r="F374" s="68"/>
      <c r="G374" s="68"/>
      <c r="H374" s="68"/>
      <c r="I374" s="68"/>
      <c r="J374" s="68"/>
      <c r="K374" s="68"/>
      <c r="L374" s="68"/>
      <c r="M374" s="68"/>
      <c r="N374" s="68"/>
      <c r="O374" s="68"/>
      <c r="P374" s="68"/>
      <c r="Q374" s="125"/>
      <c r="R374" s="68"/>
    </row>
    <row r="375" spans="1:18" ht="33.75" customHeight="1">
      <c r="A375" s="68"/>
      <c r="B375" s="68"/>
      <c r="C375" s="68"/>
      <c r="D375" s="68"/>
      <c r="E375" s="68"/>
      <c r="F375" s="68"/>
      <c r="G375" s="68"/>
      <c r="H375" s="68"/>
      <c r="I375" s="68"/>
      <c r="J375" s="68"/>
      <c r="K375" s="68"/>
      <c r="L375" s="68"/>
      <c r="M375" s="68"/>
      <c r="N375" s="68"/>
      <c r="O375" s="68"/>
      <c r="P375" s="68"/>
      <c r="Q375" s="125"/>
      <c r="R375" s="68"/>
    </row>
    <row r="376" spans="1:18" ht="33.75" customHeight="1">
      <c r="A376" s="68"/>
      <c r="B376" s="68"/>
      <c r="C376" s="68"/>
      <c r="D376" s="68"/>
      <c r="E376" s="68"/>
      <c r="F376" s="68"/>
      <c r="G376" s="68"/>
      <c r="H376" s="68"/>
      <c r="I376" s="68"/>
      <c r="J376" s="68"/>
      <c r="K376" s="68"/>
      <c r="L376" s="68"/>
      <c r="M376" s="68"/>
      <c r="N376" s="68"/>
      <c r="O376" s="68"/>
      <c r="P376" s="68"/>
      <c r="Q376" s="125"/>
      <c r="R376" s="68"/>
    </row>
    <row r="377" spans="1:18" ht="33.75" customHeight="1">
      <c r="A377" s="68"/>
      <c r="B377" s="68"/>
      <c r="C377" s="68"/>
      <c r="D377" s="68"/>
      <c r="E377" s="68"/>
      <c r="F377" s="68"/>
      <c r="G377" s="68"/>
      <c r="H377" s="68"/>
      <c r="I377" s="68"/>
      <c r="J377" s="68"/>
      <c r="K377" s="68"/>
      <c r="L377" s="68"/>
      <c r="M377" s="68"/>
      <c r="N377" s="68"/>
      <c r="O377" s="68"/>
      <c r="P377" s="68"/>
      <c r="Q377" s="125"/>
      <c r="R377" s="68"/>
    </row>
    <row r="378" spans="1:18" ht="33.75" customHeight="1">
      <c r="A378" s="68"/>
      <c r="B378" s="68"/>
      <c r="C378" s="68"/>
      <c r="D378" s="68"/>
      <c r="E378" s="68"/>
      <c r="F378" s="68"/>
      <c r="G378" s="68"/>
      <c r="H378" s="68"/>
      <c r="I378" s="68"/>
      <c r="J378" s="68"/>
      <c r="K378" s="68"/>
      <c r="L378" s="68"/>
      <c r="M378" s="68"/>
      <c r="N378" s="68"/>
      <c r="O378" s="68"/>
      <c r="P378" s="68"/>
      <c r="Q378" s="125"/>
      <c r="R378" s="68"/>
    </row>
    <row r="379" spans="1:18" ht="33.75" customHeight="1">
      <c r="A379" s="68"/>
      <c r="B379" s="68"/>
      <c r="C379" s="68"/>
      <c r="D379" s="68"/>
      <c r="E379" s="68"/>
      <c r="F379" s="68"/>
      <c r="G379" s="68"/>
      <c r="H379" s="68"/>
      <c r="I379" s="68"/>
      <c r="J379" s="68"/>
      <c r="K379" s="68"/>
      <c r="L379" s="68"/>
      <c r="M379" s="68"/>
      <c r="N379" s="68"/>
      <c r="O379" s="68"/>
      <c r="P379" s="68"/>
      <c r="Q379" s="125"/>
      <c r="R379" s="68"/>
    </row>
    <row r="380" spans="1:18" ht="33.75" customHeight="1">
      <c r="A380" s="68"/>
      <c r="B380" s="68"/>
      <c r="C380" s="68"/>
      <c r="D380" s="68"/>
      <c r="E380" s="68"/>
      <c r="F380" s="68"/>
      <c r="G380" s="68"/>
      <c r="H380" s="68"/>
      <c r="I380" s="68"/>
      <c r="J380" s="68"/>
      <c r="K380" s="68"/>
      <c r="L380" s="68"/>
      <c r="M380" s="68"/>
      <c r="N380" s="68"/>
      <c r="O380" s="68"/>
      <c r="P380" s="68"/>
      <c r="Q380" s="125"/>
      <c r="R380" s="68"/>
    </row>
    <row r="381" spans="1:18" ht="33.75" customHeight="1">
      <c r="A381" s="68"/>
      <c r="B381" s="68"/>
      <c r="C381" s="68"/>
      <c r="D381" s="68"/>
      <c r="E381" s="68"/>
      <c r="F381" s="68"/>
      <c r="G381" s="68"/>
      <c r="H381" s="68"/>
      <c r="I381" s="68"/>
      <c r="J381" s="68"/>
      <c r="K381" s="68"/>
      <c r="L381" s="68"/>
      <c r="M381" s="68"/>
      <c r="N381" s="68"/>
      <c r="O381" s="68"/>
      <c r="P381" s="68"/>
      <c r="Q381" s="125"/>
      <c r="R381" s="68"/>
    </row>
    <row r="382" spans="1:18" ht="33.75" customHeight="1">
      <c r="A382" s="68"/>
      <c r="B382" s="68"/>
      <c r="C382" s="68"/>
      <c r="D382" s="68"/>
      <c r="E382" s="68"/>
      <c r="F382" s="68"/>
      <c r="G382" s="68"/>
      <c r="H382" s="68"/>
      <c r="I382" s="68"/>
      <c r="J382" s="68"/>
      <c r="K382" s="68"/>
      <c r="L382" s="68"/>
      <c r="M382" s="68"/>
      <c r="N382" s="68"/>
      <c r="O382" s="68"/>
      <c r="P382" s="68"/>
      <c r="Q382" s="125"/>
      <c r="R382" s="68"/>
    </row>
    <row r="383" spans="1:18" ht="33.75" customHeight="1">
      <c r="A383" s="68"/>
      <c r="B383" s="68"/>
      <c r="C383" s="68"/>
      <c r="D383" s="68"/>
      <c r="E383" s="68"/>
      <c r="F383" s="68"/>
      <c r="G383" s="68"/>
      <c r="H383" s="68"/>
      <c r="I383" s="68"/>
      <c r="J383" s="68"/>
      <c r="K383" s="68"/>
      <c r="L383" s="68"/>
      <c r="M383" s="68"/>
      <c r="N383" s="68"/>
      <c r="O383" s="68"/>
      <c r="P383" s="68"/>
      <c r="Q383" s="125"/>
      <c r="R383" s="68"/>
    </row>
    <row r="384" spans="1:18" ht="33.75" customHeight="1">
      <c r="A384" s="68"/>
      <c r="B384" s="68"/>
      <c r="C384" s="68"/>
      <c r="D384" s="68"/>
      <c r="E384" s="68"/>
      <c r="F384" s="68"/>
      <c r="G384" s="68"/>
      <c r="H384" s="68"/>
      <c r="I384" s="68"/>
      <c r="J384" s="68"/>
      <c r="K384" s="68"/>
      <c r="L384" s="68"/>
      <c r="M384" s="68"/>
      <c r="N384" s="68"/>
      <c r="O384" s="68"/>
      <c r="P384" s="68"/>
      <c r="Q384" s="125"/>
      <c r="R384" s="68"/>
    </row>
    <row r="385" spans="1:18" ht="33.75" customHeight="1">
      <c r="A385" s="68"/>
      <c r="B385" s="68"/>
      <c r="C385" s="68"/>
      <c r="D385" s="68"/>
      <c r="E385" s="68"/>
      <c r="F385" s="68"/>
      <c r="G385" s="68"/>
      <c r="H385" s="68"/>
      <c r="I385" s="68"/>
      <c r="J385" s="68"/>
      <c r="K385" s="68"/>
      <c r="L385" s="68"/>
      <c r="M385" s="68"/>
      <c r="N385" s="68"/>
      <c r="O385" s="68"/>
      <c r="P385" s="68"/>
      <c r="Q385" s="125"/>
      <c r="R385" s="68"/>
    </row>
    <row r="386" spans="1:18" ht="33.75" customHeight="1">
      <c r="A386" s="68"/>
      <c r="B386" s="68"/>
      <c r="C386" s="68"/>
      <c r="D386" s="68"/>
      <c r="E386" s="68"/>
      <c r="F386" s="68"/>
      <c r="G386" s="68"/>
      <c r="H386" s="68"/>
      <c r="I386" s="68"/>
      <c r="J386" s="68"/>
      <c r="K386" s="68"/>
      <c r="L386" s="68"/>
      <c r="M386" s="68"/>
      <c r="N386" s="68"/>
      <c r="O386" s="68"/>
      <c r="P386" s="68"/>
      <c r="Q386" s="125"/>
      <c r="R386" s="68"/>
    </row>
    <row r="387" spans="1:18" ht="33.75" customHeight="1">
      <c r="A387" s="68"/>
      <c r="B387" s="68"/>
      <c r="C387" s="68"/>
      <c r="D387" s="68"/>
      <c r="E387" s="68"/>
      <c r="F387" s="68"/>
      <c r="G387" s="68"/>
      <c r="H387" s="68"/>
      <c r="I387" s="68"/>
      <c r="J387" s="68"/>
      <c r="K387" s="68"/>
      <c r="L387" s="68"/>
      <c r="M387" s="68"/>
      <c r="N387" s="68"/>
      <c r="O387" s="68"/>
      <c r="P387" s="68"/>
      <c r="Q387" s="125"/>
      <c r="R387" s="68"/>
    </row>
    <row r="388" spans="1:18" ht="33.75" customHeight="1">
      <c r="A388" s="68"/>
      <c r="B388" s="68"/>
      <c r="C388" s="68"/>
      <c r="D388" s="68"/>
      <c r="E388" s="68"/>
      <c r="F388" s="68"/>
      <c r="G388" s="68"/>
      <c r="H388" s="68"/>
      <c r="I388" s="68"/>
      <c r="J388" s="68"/>
      <c r="K388" s="68"/>
      <c r="L388" s="68"/>
      <c r="M388" s="68"/>
      <c r="N388" s="68"/>
      <c r="O388" s="68"/>
      <c r="P388" s="68"/>
      <c r="Q388" s="125"/>
      <c r="R388" s="68"/>
    </row>
    <row r="389" spans="1:18" ht="33.75" customHeight="1">
      <c r="A389" s="68"/>
      <c r="B389" s="68"/>
      <c r="C389" s="68"/>
      <c r="D389" s="68"/>
      <c r="E389" s="68"/>
      <c r="F389" s="68"/>
      <c r="G389" s="68"/>
      <c r="H389" s="68"/>
      <c r="I389" s="68"/>
      <c r="J389" s="68"/>
      <c r="K389" s="68"/>
      <c r="L389" s="68"/>
      <c r="M389" s="68"/>
      <c r="N389" s="68"/>
      <c r="O389" s="68"/>
      <c r="P389" s="68"/>
      <c r="Q389" s="125"/>
      <c r="R389" s="68"/>
    </row>
    <row r="390" spans="1:18" ht="33.75" customHeight="1">
      <c r="A390" s="68"/>
      <c r="B390" s="68"/>
      <c r="C390" s="68"/>
      <c r="D390" s="68"/>
      <c r="E390" s="68"/>
      <c r="F390" s="68"/>
      <c r="G390" s="68"/>
      <c r="H390" s="68"/>
      <c r="I390" s="68"/>
      <c r="J390" s="68"/>
      <c r="K390" s="68"/>
      <c r="L390" s="68"/>
      <c r="M390" s="68"/>
      <c r="N390" s="68"/>
      <c r="O390" s="68"/>
      <c r="P390" s="68"/>
      <c r="Q390" s="125"/>
      <c r="R390" s="68"/>
    </row>
    <row r="391" spans="1:18" ht="33.75" customHeight="1">
      <c r="A391" s="68"/>
      <c r="B391" s="68"/>
      <c r="C391" s="68"/>
      <c r="D391" s="68"/>
      <c r="E391" s="68"/>
      <c r="F391" s="68"/>
      <c r="G391" s="68"/>
      <c r="H391" s="68"/>
      <c r="I391" s="68"/>
      <c r="J391" s="68"/>
      <c r="K391" s="68"/>
      <c r="L391" s="68"/>
      <c r="M391" s="68"/>
      <c r="N391" s="68"/>
      <c r="O391" s="68"/>
      <c r="P391" s="68"/>
      <c r="Q391" s="125"/>
      <c r="R391" s="68"/>
    </row>
    <row r="392" spans="1:18" ht="33.75" customHeight="1">
      <c r="A392" s="68"/>
      <c r="B392" s="68"/>
      <c r="C392" s="68"/>
      <c r="D392" s="68"/>
      <c r="E392" s="68"/>
      <c r="F392" s="68"/>
      <c r="G392" s="68"/>
      <c r="H392" s="68"/>
      <c r="I392" s="68"/>
      <c r="J392" s="68"/>
      <c r="K392" s="68"/>
      <c r="L392" s="68"/>
      <c r="M392" s="68"/>
      <c r="N392" s="68"/>
      <c r="O392" s="68"/>
      <c r="P392" s="68"/>
      <c r="Q392" s="125"/>
      <c r="R392" s="68"/>
    </row>
    <row r="393" spans="1:18" ht="33.75" customHeight="1">
      <c r="A393" s="68"/>
      <c r="B393" s="68"/>
      <c r="C393" s="68"/>
      <c r="D393" s="68"/>
      <c r="E393" s="68"/>
      <c r="F393" s="68"/>
      <c r="G393" s="68"/>
      <c r="H393" s="68"/>
      <c r="I393" s="68"/>
      <c r="J393" s="68"/>
      <c r="K393" s="68"/>
      <c r="L393" s="68"/>
      <c r="M393" s="68"/>
      <c r="N393" s="68"/>
      <c r="O393" s="68"/>
      <c r="P393" s="68"/>
      <c r="Q393" s="125"/>
      <c r="R393" s="68"/>
    </row>
    <row r="394" spans="1:18" ht="33.75" customHeight="1">
      <c r="A394" s="68"/>
      <c r="B394" s="68"/>
      <c r="C394" s="68"/>
      <c r="D394" s="68"/>
      <c r="E394" s="68"/>
      <c r="F394" s="68"/>
      <c r="G394" s="68"/>
      <c r="H394" s="68"/>
      <c r="I394" s="68"/>
      <c r="J394" s="68"/>
      <c r="K394" s="68"/>
      <c r="L394" s="68"/>
      <c r="M394" s="68"/>
      <c r="N394" s="68"/>
      <c r="O394" s="68"/>
      <c r="P394" s="68"/>
      <c r="Q394" s="125"/>
      <c r="R394" s="68"/>
    </row>
    <row r="395" spans="1:18" ht="33.75" customHeight="1">
      <c r="A395" s="68"/>
      <c r="B395" s="68"/>
      <c r="C395" s="68"/>
      <c r="D395" s="68"/>
      <c r="E395" s="68"/>
      <c r="F395" s="68"/>
      <c r="G395" s="68"/>
      <c r="H395" s="68"/>
      <c r="I395" s="68"/>
      <c r="J395" s="68"/>
      <c r="K395" s="68"/>
      <c r="L395" s="68"/>
      <c r="M395" s="68"/>
      <c r="N395" s="68"/>
      <c r="O395" s="68"/>
      <c r="P395" s="68"/>
      <c r="Q395" s="125"/>
      <c r="R395" s="68"/>
    </row>
    <row r="396" spans="1:18" ht="33.75" customHeight="1">
      <c r="A396" s="68"/>
      <c r="B396" s="68"/>
      <c r="C396" s="68"/>
      <c r="D396" s="68"/>
      <c r="E396" s="68"/>
      <c r="F396" s="68"/>
      <c r="G396" s="68"/>
      <c r="H396" s="68"/>
      <c r="I396" s="68"/>
      <c r="J396" s="68"/>
      <c r="K396" s="68"/>
      <c r="L396" s="68"/>
      <c r="M396" s="68"/>
      <c r="N396" s="68"/>
      <c r="O396" s="68"/>
      <c r="P396" s="68"/>
      <c r="Q396" s="125"/>
      <c r="R396" s="68"/>
    </row>
    <row r="397" spans="1:18" ht="33.75" customHeight="1">
      <c r="A397" s="68"/>
      <c r="B397" s="68"/>
      <c r="C397" s="68"/>
      <c r="D397" s="68"/>
      <c r="E397" s="68"/>
      <c r="F397" s="68"/>
      <c r="G397" s="68"/>
      <c r="H397" s="68"/>
      <c r="I397" s="68"/>
      <c r="J397" s="68"/>
      <c r="K397" s="68"/>
      <c r="L397" s="68"/>
      <c r="M397" s="68"/>
      <c r="N397" s="68"/>
      <c r="O397" s="68"/>
      <c r="P397" s="68"/>
      <c r="Q397" s="125"/>
      <c r="R397" s="68"/>
    </row>
    <row r="398" spans="1:18" ht="33.75" customHeight="1">
      <c r="A398" s="68"/>
      <c r="B398" s="68"/>
      <c r="C398" s="68"/>
      <c r="D398" s="68"/>
      <c r="E398" s="68"/>
      <c r="F398" s="68"/>
      <c r="G398" s="68"/>
      <c r="H398" s="68"/>
      <c r="I398" s="68"/>
      <c r="J398" s="68"/>
      <c r="K398" s="68"/>
      <c r="L398" s="68"/>
      <c r="M398" s="68"/>
      <c r="N398" s="68"/>
      <c r="O398" s="68"/>
      <c r="P398" s="68"/>
      <c r="Q398" s="125"/>
      <c r="R398" s="68"/>
    </row>
    <row r="399" spans="1:18" ht="33.75" customHeight="1">
      <c r="A399" s="68"/>
      <c r="B399" s="68"/>
      <c r="C399" s="68"/>
      <c r="D399" s="68"/>
      <c r="E399" s="68"/>
      <c r="F399" s="68"/>
      <c r="G399" s="68"/>
      <c r="H399" s="68"/>
      <c r="I399" s="68"/>
      <c r="J399" s="68"/>
      <c r="K399" s="68"/>
      <c r="L399" s="68"/>
      <c r="M399" s="68"/>
      <c r="N399" s="68"/>
      <c r="O399" s="68"/>
      <c r="P399" s="68"/>
      <c r="Q399" s="125"/>
      <c r="R399" s="68"/>
    </row>
    <row r="400" spans="1:18" ht="33.75" customHeight="1">
      <c r="A400" s="68"/>
      <c r="B400" s="68"/>
      <c r="C400" s="68"/>
      <c r="D400" s="68"/>
      <c r="E400" s="68"/>
      <c r="F400" s="68"/>
      <c r="G400" s="68"/>
      <c r="H400" s="68"/>
      <c r="I400" s="68"/>
      <c r="J400" s="68"/>
      <c r="K400" s="68"/>
      <c r="L400" s="68"/>
      <c r="M400" s="68"/>
      <c r="N400" s="68"/>
      <c r="O400" s="68"/>
      <c r="P400" s="68"/>
      <c r="Q400" s="125"/>
      <c r="R400" s="68"/>
    </row>
    <row r="401" spans="1:18" ht="33.75" customHeight="1">
      <c r="A401" s="68"/>
      <c r="B401" s="68"/>
      <c r="C401" s="68"/>
      <c r="D401" s="68"/>
      <c r="E401" s="68"/>
      <c r="F401" s="68"/>
      <c r="G401" s="68"/>
      <c r="H401" s="68"/>
      <c r="I401" s="68"/>
      <c r="J401" s="68"/>
      <c r="K401" s="68"/>
      <c r="L401" s="68"/>
      <c r="M401" s="68"/>
      <c r="N401" s="68"/>
      <c r="O401" s="68"/>
      <c r="P401" s="68"/>
      <c r="Q401" s="125"/>
      <c r="R401" s="68"/>
    </row>
    <row r="402" spans="1:18" ht="33.75" customHeight="1">
      <c r="A402" s="68"/>
      <c r="B402" s="68"/>
      <c r="C402" s="68"/>
      <c r="D402" s="68"/>
      <c r="E402" s="68"/>
      <c r="F402" s="68"/>
      <c r="G402" s="68"/>
      <c r="H402" s="68"/>
      <c r="I402" s="68"/>
      <c r="J402" s="68"/>
      <c r="K402" s="68"/>
      <c r="L402" s="68"/>
      <c r="M402" s="68"/>
      <c r="N402" s="68"/>
      <c r="O402" s="68"/>
      <c r="P402" s="68"/>
      <c r="Q402" s="125"/>
      <c r="R402" s="68"/>
    </row>
    <row r="403" spans="1:18" ht="33.75" customHeight="1">
      <c r="A403" s="68"/>
      <c r="B403" s="68"/>
      <c r="C403" s="68"/>
      <c r="D403" s="68"/>
      <c r="E403" s="68"/>
      <c r="F403" s="68"/>
      <c r="G403" s="68"/>
      <c r="H403" s="68"/>
      <c r="I403" s="68"/>
      <c r="J403" s="68"/>
      <c r="K403" s="68"/>
      <c r="L403" s="68"/>
      <c r="M403" s="68"/>
      <c r="N403" s="68"/>
      <c r="O403" s="68"/>
      <c r="P403" s="68"/>
      <c r="Q403" s="125"/>
      <c r="R403" s="68"/>
    </row>
    <row r="404" spans="1:18" ht="33.75" customHeight="1">
      <c r="A404" s="68"/>
      <c r="B404" s="68"/>
      <c r="C404" s="68"/>
      <c r="D404" s="68"/>
      <c r="E404" s="68"/>
      <c r="F404" s="68"/>
      <c r="G404" s="68"/>
      <c r="H404" s="68"/>
      <c r="I404" s="68"/>
      <c r="J404" s="68"/>
      <c r="K404" s="68"/>
      <c r="L404" s="68"/>
      <c r="M404" s="68"/>
      <c r="N404" s="68"/>
      <c r="O404" s="68"/>
      <c r="P404" s="68"/>
      <c r="Q404" s="125"/>
      <c r="R404" s="68"/>
    </row>
    <row r="405" spans="1:18" ht="33.75" customHeight="1">
      <c r="A405" s="68"/>
      <c r="B405" s="68"/>
      <c r="C405" s="68"/>
      <c r="D405" s="68"/>
      <c r="E405" s="68"/>
      <c r="F405" s="68"/>
      <c r="G405" s="68"/>
      <c r="H405" s="68"/>
      <c r="I405" s="68"/>
      <c r="J405" s="68"/>
      <c r="K405" s="68"/>
      <c r="L405" s="68"/>
      <c r="M405" s="68"/>
      <c r="N405" s="68"/>
      <c r="O405" s="68"/>
      <c r="P405" s="68"/>
      <c r="Q405" s="125"/>
      <c r="R405" s="68"/>
    </row>
    <row r="406" spans="1:18" ht="33.75" customHeight="1">
      <c r="A406" s="68"/>
      <c r="B406" s="68"/>
      <c r="C406" s="68"/>
      <c r="D406" s="68"/>
      <c r="E406" s="68"/>
      <c r="F406" s="68"/>
      <c r="G406" s="68"/>
      <c r="H406" s="68"/>
      <c r="I406" s="68"/>
      <c r="J406" s="68"/>
      <c r="K406" s="68"/>
      <c r="L406" s="68"/>
      <c r="M406" s="68"/>
      <c r="N406" s="68"/>
      <c r="O406" s="68"/>
      <c r="P406" s="68"/>
      <c r="Q406" s="125"/>
      <c r="R406" s="68"/>
    </row>
    <row r="407" spans="1:18" ht="33.75" customHeight="1">
      <c r="A407" s="68"/>
      <c r="B407" s="68"/>
      <c r="C407" s="68"/>
      <c r="D407" s="68"/>
      <c r="E407" s="68"/>
      <c r="F407" s="68"/>
      <c r="G407" s="68"/>
      <c r="H407" s="68"/>
      <c r="I407" s="68"/>
      <c r="J407" s="68"/>
      <c r="K407" s="68"/>
      <c r="L407" s="68"/>
      <c r="M407" s="68"/>
      <c r="N407" s="68"/>
      <c r="O407" s="68"/>
      <c r="P407" s="68"/>
      <c r="Q407" s="125"/>
      <c r="R407" s="68"/>
    </row>
    <row r="408" spans="1:18" ht="33.75" customHeight="1">
      <c r="A408" s="68"/>
      <c r="B408" s="68"/>
      <c r="C408" s="68"/>
      <c r="D408" s="68"/>
      <c r="E408" s="68"/>
      <c r="F408" s="68"/>
      <c r="G408" s="68"/>
      <c r="H408" s="68"/>
      <c r="I408" s="68"/>
      <c r="J408" s="68"/>
      <c r="K408" s="68"/>
      <c r="L408" s="68"/>
      <c r="M408" s="68"/>
      <c r="N408" s="68"/>
      <c r="O408" s="68"/>
      <c r="P408" s="68"/>
      <c r="Q408" s="125"/>
      <c r="R408" s="68"/>
    </row>
    <row r="409" spans="1:18" ht="33.75" customHeight="1">
      <c r="A409" s="68"/>
      <c r="B409" s="68"/>
      <c r="C409" s="68"/>
      <c r="D409" s="68"/>
      <c r="E409" s="68"/>
      <c r="F409" s="68"/>
      <c r="G409" s="68"/>
      <c r="H409" s="68"/>
      <c r="I409" s="68"/>
      <c r="J409" s="68"/>
      <c r="K409" s="68"/>
      <c r="L409" s="68"/>
      <c r="M409" s="68"/>
      <c r="N409" s="68"/>
      <c r="O409" s="68"/>
      <c r="P409" s="68"/>
      <c r="Q409" s="125"/>
      <c r="R409" s="68"/>
    </row>
    <row r="410" spans="1:18" ht="33.75" customHeight="1">
      <c r="A410" s="68"/>
      <c r="B410" s="68"/>
      <c r="C410" s="68"/>
      <c r="D410" s="68"/>
      <c r="E410" s="68"/>
      <c r="F410" s="68"/>
      <c r="G410" s="68"/>
      <c r="H410" s="68"/>
      <c r="I410" s="68"/>
      <c r="J410" s="68"/>
      <c r="K410" s="68"/>
      <c r="L410" s="68"/>
      <c r="M410" s="68"/>
      <c r="N410" s="68"/>
      <c r="O410" s="68"/>
      <c r="P410" s="68"/>
      <c r="Q410" s="125"/>
      <c r="R410" s="68"/>
    </row>
    <row r="411" spans="1:18" ht="33.75" customHeight="1">
      <c r="A411" s="68"/>
      <c r="B411" s="68"/>
      <c r="C411" s="68"/>
      <c r="D411" s="68"/>
      <c r="E411" s="68"/>
      <c r="F411" s="68"/>
      <c r="G411" s="68"/>
      <c r="H411" s="68"/>
      <c r="I411" s="68"/>
      <c r="J411" s="68"/>
      <c r="K411" s="68"/>
      <c r="L411" s="68"/>
      <c r="M411" s="68"/>
      <c r="N411" s="68"/>
      <c r="O411" s="68"/>
      <c r="P411" s="68"/>
      <c r="Q411" s="125"/>
      <c r="R411" s="68"/>
    </row>
    <row r="412" spans="1:18" ht="33.75" customHeight="1">
      <c r="A412" s="68"/>
      <c r="B412" s="68"/>
      <c r="C412" s="68"/>
      <c r="D412" s="68"/>
      <c r="E412" s="68"/>
      <c r="F412" s="68"/>
      <c r="G412" s="68"/>
      <c r="H412" s="68"/>
      <c r="I412" s="68"/>
      <c r="J412" s="68"/>
      <c r="K412" s="68"/>
      <c r="L412" s="68"/>
      <c r="M412" s="68"/>
      <c r="N412" s="68"/>
      <c r="O412" s="68"/>
      <c r="P412" s="68"/>
      <c r="Q412" s="125"/>
      <c r="R412" s="68"/>
    </row>
    <row r="413" spans="1:18" ht="33.75" customHeight="1">
      <c r="A413" s="68"/>
      <c r="B413" s="68"/>
      <c r="C413" s="68"/>
      <c r="D413" s="68"/>
      <c r="E413" s="68"/>
      <c r="F413" s="68"/>
      <c r="G413" s="68"/>
      <c r="H413" s="68"/>
      <c r="I413" s="68"/>
      <c r="J413" s="68"/>
      <c r="K413" s="68"/>
      <c r="L413" s="68"/>
      <c r="M413" s="68"/>
      <c r="N413" s="68"/>
      <c r="O413" s="68"/>
      <c r="P413" s="68"/>
      <c r="Q413" s="125"/>
      <c r="R413" s="68"/>
    </row>
    <row r="414" spans="1:18" ht="33.75" customHeight="1">
      <c r="A414" s="68"/>
      <c r="B414" s="68"/>
      <c r="C414" s="68"/>
      <c r="D414" s="68"/>
      <c r="E414" s="68"/>
      <c r="F414" s="68"/>
      <c r="G414" s="68"/>
      <c r="H414" s="68"/>
      <c r="I414" s="68"/>
      <c r="J414" s="68"/>
      <c r="K414" s="68"/>
      <c r="L414" s="68"/>
      <c r="M414" s="68"/>
      <c r="N414" s="68"/>
      <c r="O414" s="68"/>
      <c r="P414" s="68"/>
      <c r="Q414" s="125"/>
      <c r="R414" s="68"/>
    </row>
    <row r="415" spans="1:18" ht="33.75" customHeight="1">
      <c r="A415" s="68"/>
      <c r="B415" s="68"/>
      <c r="C415" s="68"/>
      <c r="D415" s="68"/>
      <c r="E415" s="68"/>
      <c r="F415" s="68"/>
      <c r="G415" s="68"/>
      <c r="H415" s="68"/>
      <c r="I415" s="68"/>
      <c r="J415" s="68"/>
      <c r="K415" s="68"/>
      <c r="L415" s="68"/>
      <c r="M415" s="68"/>
      <c r="N415" s="68"/>
      <c r="O415" s="68"/>
      <c r="P415" s="68"/>
      <c r="Q415" s="125"/>
      <c r="R415" s="68"/>
    </row>
    <row r="416" spans="1:18" ht="33.75" customHeight="1">
      <c r="A416" s="68"/>
      <c r="B416" s="68"/>
      <c r="C416" s="68"/>
      <c r="D416" s="68"/>
      <c r="E416" s="68"/>
      <c r="F416" s="68"/>
      <c r="G416" s="68"/>
      <c r="H416" s="68"/>
      <c r="I416" s="68"/>
      <c r="J416" s="68"/>
      <c r="K416" s="68"/>
      <c r="L416" s="68"/>
      <c r="M416" s="68"/>
      <c r="N416" s="68"/>
      <c r="O416" s="68"/>
      <c r="P416" s="68"/>
      <c r="Q416" s="125"/>
      <c r="R416" s="68"/>
    </row>
    <row r="417" spans="1:18" ht="33.75" customHeight="1">
      <c r="A417" s="68"/>
      <c r="B417" s="68"/>
      <c r="C417" s="68"/>
      <c r="D417" s="68"/>
      <c r="E417" s="68"/>
      <c r="F417" s="68"/>
      <c r="G417" s="68"/>
      <c r="H417" s="68"/>
      <c r="I417" s="68"/>
      <c r="J417" s="68"/>
      <c r="K417" s="68"/>
      <c r="L417" s="68"/>
      <c r="M417" s="68"/>
      <c r="N417" s="68"/>
      <c r="O417" s="68"/>
      <c r="P417" s="68"/>
      <c r="Q417" s="125"/>
      <c r="R417" s="68"/>
    </row>
    <row r="418" spans="1:18" ht="33.75" customHeight="1">
      <c r="A418" s="68"/>
      <c r="B418" s="68"/>
      <c r="C418" s="68"/>
      <c r="D418" s="68"/>
      <c r="E418" s="68"/>
      <c r="F418" s="68"/>
      <c r="G418" s="68"/>
      <c r="H418" s="68"/>
      <c r="I418" s="68"/>
      <c r="J418" s="68"/>
      <c r="K418" s="68"/>
      <c r="L418" s="68"/>
      <c r="M418" s="68"/>
      <c r="N418" s="68"/>
      <c r="O418" s="68"/>
      <c r="P418" s="68"/>
      <c r="Q418" s="125"/>
      <c r="R418" s="68"/>
    </row>
    <row r="419" spans="1:18" ht="33.75" customHeight="1">
      <c r="A419" s="68"/>
      <c r="B419" s="68"/>
      <c r="C419" s="68"/>
      <c r="D419" s="68"/>
      <c r="E419" s="68"/>
      <c r="F419" s="68"/>
      <c r="G419" s="68"/>
      <c r="H419" s="68"/>
      <c r="I419" s="68"/>
      <c r="J419" s="68"/>
      <c r="K419" s="68"/>
      <c r="L419" s="68"/>
      <c r="M419" s="68"/>
      <c r="N419" s="68"/>
      <c r="O419" s="68"/>
      <c r="P419" s="68"/>
      <c r="Q419" s="125"/>
      <c r="R419" s="68"/>
    </row>
    <row r="420" spans="1:18" ht="33.75" customHeight="1">
      <c r="A420" s="68"/>
      <c r="B420" s="68"/>
      <c r="C420" s="68"/>
      <c r="D420" s="68"/>
      <c r="E420" s="68"/>
      <c r="F420" s="68"/>
      <c r="G420" s="68"/>
      <c r="H420" s="68"/>
      <c r="I420" s="68"/>
      <c r="J420" s="68"/>
      <c r="K420" s="68"/>
      <c r="L420" s="68"/>
      <c r="M420" s="68"/>
      <c r="N420" s="68"/>
      <c r="O420" s="68"/>
      <c r="P420" s="68"/>
      <c r="Q420" s="125"/>
      <c r="R420" s="68"/>
    </row>
    <row r="421" spans="1:18" ht="33.75" customHeight="1">
      <c r="A421" s="68"/>
      <c r="B421" s="68"/>
      <c r="C421" s="68"/>
      <c r="D421" s="68"/>
      <c r="E421" s="68"/>
      <c r="F421" s="68"/>
      <c r="G421" s="68"/>
      <c r="H421" s="68"/>
      <c r="I421" s="68"/>
      <c r="J421" s="68"/>
      <c r="K421" s="68"/>
      <c r="L421" s="68"/>
      <c r="M421" s="68"/>
      <c r="N421" s="68"/>
      <c r="O421" s="68"/>
      <c r="P421" s="68"/>
      <c r="Q421" s="125"/>
      <c r="R421" s="68"/>
    </row>
    <row r="422" spans="1:18" ht="33.75" customHeight="1">
      <c r="A422" s="68"/>
      <c r="B422" s="68"/>
      <c r="C422" s="68"/>
      <c r="D422" s="68"/>
      <c r="E422" s="68"/>
      <c r="F422" s="68"/>
      <c r="G422" s="68"/>
      <c r="H422" s="68"/>
      <c r="I422" s="68"/>
      <c r="J422" s="68"/>
      <c r="K422" s="68"/>
      <c r="L422" s="68"/>
      <c r="M422" s="68"/>
      <c r="N422" s="68"/>
      <c r="O422" s="68"/>
      <c r="P422" s="68"/>
      <c r="Q422" s="125"/>
      <c r="R422" s="68"/>
    </row>
    <row r="423" spans="1:18" ht="33.75" customHeight="1">
      <c r="A423" s="68"/>
      <c r="B423" s="68"/>
      <c r="C423" s="68"/>
      <c r="D423" s="68"/>
      <c r="E423" s="68"/>
      <c r="F423" s="68"/>
      <c r="G423" s="68"/>
      <c r="H423" s="68"/>
      <c r="I423" s="68"/>
      <c r="J423" s="68"/>
      <c r="K423" s="68"/>
      <c r="L423" s="68"/>
      <c r="M423" s="68"/>
      <c r="N423" s="68"/>
      <c r="O423" s="68"/>
      <c r="P423" s="68"/>
      <c r="Q423" s="125"/>
      <c r="R423" s="68"/>
    </row>
    <row r="424" spans="1:18" ht="33.75" customHeight="1">
      <c r="A424" s="68"/>
      <c r="B424" s="68"/>
      <c r="C424" s="68"/>
      <c r="D424" s="68"/>
      <c r="E424" s="68"/>
      <c r="F424" s="68"/>
      <c r="G424" s="68"/>
      <c r="H424" s="68"/>
      <c r="I424" s="68"/>
      <c r="J424" s="68"/>
      <c r="K424" s="68"/>
      <c r="L424" s="68"/>
      <c r="M424" s="68"/>
      <c r="N424" s="68"/>
      <c r="O424" s="68"/>
      <c r="P424" s="68"/>
      <c r="Q424" s="125"/>
      <c r="R424" s="68"/>
    </row>
    <row r="425" spans="1:18" ht="33.75" customHeight="1">
      <c r="A425" s="68"/>
      <c r="B425" s="68"/>
      <c r="C425" s="68"/>
      <c r="D425" s="68"/>
      <c r="E425" s="68"/>
      <c r="F425" s="68"/>
      <c r="G425" s="68"/>
      <c r="H425" s="68"/>
      <c r="I425" s="68"/>
      <c r="J425" s="68"/>
      <c r="K425" s="68"/>
      <c r="L425" s="68"/>
      <c r="M425" s="68"/>
      <c r="N425" s="68"/>
      <c r="O425" s="68"/>
      <c r="P425" s="68"/>
      <c r="Q425" s="125"/>
      <c r="R425" s="68"/>
    </row>
    <row r="426" spans="1:18" ht="33.75" customHeight="1">
      <c r="A426" s="68"/>
      <c r="B426" s="68"/>
      <c r="C426" s="68"/>
      <c r="D426" s="68"/>
      <c r="E426" s="68"/>
      <c r="F426" s="68"/>
      <c r="G426" s="68"/>
      <c r="H426" s="68"/>
      <c r="I426" s="68"/>
      <c r="J426" s="68"/>
      <c r="K426" s="68"/>
      <c r="L426" s="68"/>
      <c r="M426" s="68"/>
      <c r="N426" s="68"/>
      <c r="O426" s="68"/>
      <c r="P426" s="68"/>
      <c r="Q426" s="125"/>
      <c r="R426" s="68"/>
    </row>
    <row r="427" spans="1:18" ht="33.75" customHeight="1">
      <c r="A427" s="68"/>
      <c r="B427" s="68"/>
      <c r="C427" s="68"/>
      <c r="D427" s="68"/>
      <c r="E427" s="68"/>
      <c r="F427" s="68"/>
      <c r="G427" s="68"/>
      <c r="H427" s="68"/>
      <c r="I427" s="68"/>
      <c r="J427" s="68"/>
      <c r="K427" s="68"/>
      <c r="L427" s="68"/>
      <c r="M427" s="68"/>
      <c r="N427" s="68"/>
      <c r="O427" s="68"/>
      <c r="P427" s="68"/>
      <c r="Q427" s="125"/>
      <c r="R427" s="68"/>
    </row>
    <row r="428" spans="1:18" ht="33.75" customHeight="1">
      <c r="A428" s="68"/>
      <c r="B428" s="68"/>
      <c r="C428" s="68"/>
      <c r="D428" s="68"/>
      <c r="E428" s="68"/>
      <c r="F428" s="68"/>
      <c r="G428" s="68"/>
      <c r="H428" s="68"/>
      <c r="I428" s="68"/>
      <c r="J428" s="68"/>
      <c r="K428" s="68"/>
      <c r="L428" s="68"/>
      <c r="M428" s="68"/>
      <c r="N428" s="68"/>
      <c r="O428" s="68"/>
      <c r="P428" s="68"/>
      <c r="Q428" s="125"/>
      <c r="R428" s="68"/>
    </row>
    <row r="429" spans="1:18" ht="33.75" customHeight="1">
      <c r="A429" s="68"/>
      <c r="B429" s="68"/>
      <c r="C429" s="68"/>
      <c r="D429" s="68"/>
      <c r="E429" s="68"/>
      <c r="F429" s="68"/>
      <c r="G429" s="68"/>
      <c r="H429" s="68"/>
      <c r="I429" s="68"/>
      <c r="J429" s="68"/>
      <c r="K429" s="68"/>
      <c r="L429" s="68"/>
      <c r="M429" s="68"/>
      <c r="N429" s="68"/>
      <c r="O429" s="68"/>
      <c r="P429" s="68"/>
      <c r="Q429" s="125"/>
      <c r="R429" s="68"/>
    </row>
    <row r="430" spans="1:18" ht="33.75" customHeight="1">
      <c r="A430" s="68"/>
      <c r="B430" s="68"/>
      <c r="C430" s="68"/>
      <c r="D430" s="68"/>
      <c r="E430" s="68"/>
      <c r="F430" s="68"/>
      <c r="G430" s="68"/>
      <c r="H430" s="68"/>
      <c r="I430" s="68"/>
      <c r="J430" s="68"/>
      <c r="K430" s="68"/>
      <c r="L430" s="68"/>
      <c r="M430" s="68"/>
      <c r="N430" s="68"/>
      <c r="O430" s="68"/>
      <c r="P430" s="68"/>
      <c r="Q430" s="125"/>
      <c r="R430" s="68"/>
    </row>
    <row r="431" spans="1:18" ht="33.75" customHeight="1">
      <c r="A431" s="68"/>
      <c r="B431" s="68"/>
      <c r="C431" s="68"/>
      <c r="D431" s="68"/>
      <c r="E431" s="68"/>
      <c r="F431" s="68"/>
      <c r="G431" s="68"/>
      <c r="H431" s="68"/>
      <c r="I431" s="68"/>
      <c r="J431" s="68"/>
      <c r="K431" s="68"/>
      <c r="L431" s="68"/>
      <c r="M431" s="68"/>
      <c r="N431" s="68"/>
      <c r="O431" s="68"/>
      <c r="P431" s="68"/>
      <c r="Q431" s="125"/>
      <c r="R431" s="68"/>
    </row>
    <row r="432" spans="1:18" ht="33.75" customHeight="1">
      <c r="A432" s="68"/>
      <c r="B432" s="68"/>
      <c r="C432" s="68"/>
      <c r="D432" s="68"/>
      <c r="E432" s="68"/>
      <c r="F432" s="68"/>
      <c r="G432" s="68"/>
      <c r="H432" s="68"/>
      <c r="I432" s="68"/>
      <c r="J432" s="68"/>
      <c r="K432" s="68"/>
      <c r="L432" s="68"/>
      <c r="M432" s="68"/>
      <c r="N432" s="68"/>
      <c r="O432" s="68"/>
      <c r="P432" s="68"/>
      <c r="Q432" s="125"/>
      <c r="R432" s="68"/>
    </row>
    <row r="433" spans="1:18" ht="33.75" customHeight="1">
      <c r="A433" s="68"/>
      <c r="B433" s="68"/>
      <c r="C433" s="68"/>
      <c r="D433" s="68"/>
      <c r="E433" s="68"/>
      <c r="F433" s="68"/>
      <c r="G433" s="68"/>
      <c r="H433" s="68"/>
      <c r="I433" s="68"/>
      <c r="J433" s="68"/>
      <c r="K433" s="68"/>
      <c r="L433" s="68"/>
      <c r="M433" s="68"/>
      <c r="N433" s="68"/>
      <c r="O433" s="68"/>
      <c r="P433" s="68"/>
      <c r="Q433" s="125"/>
      <c r="R433" s="68"/>
    </row>
    <row r="434" spans="1:18" ht="33.75" customHeight="1">
      <c r="A434" s="68"/>
      <c r="B434" s="68"/>
      <c r="C434" s="68"/>
      <c r="D434" s="68"/>
      <c r="E434" s="68"/>
      <c r="F434" s="68"/>
      <c r="G434" s="68"/>
      <c r="H434" s="68"/>
      <c r="I434" s="68"/>
      <c r="J434" s="68"/>
      <c r="K434" s="68"/>
      <c r="L434" s="68"/>
      <c r="M434" s="68"/>
      <c r="N434" s="68"/>
      <c r="O434" s="68"/>
      <c r="P434" s="68"/>
      <c r="Q434" s="125"/>
      <c r="R434" s="68"/>
    </row>
    <row r="435" spans="1:18" ht="33.75" customHeight="1">
      <c r="A435" s="68"/>
      <c r="B435" s="68"/>
      <c r="C435" s="68"/>
      <c r="D435" s="68"/>
      <c r="E435" s="68"/>
      <c r="F435" s="68"/>
      <c r="G435" s="68"/>
      <c r="H435" s="68"/>
      <c r="I435" s="68"/>
      <c r="J435" s="68"/>
      <c r="K435" s="68"/>
      <c r="L435" s="68"/>
      <c r="M435" s="68"/>
      <c r="N435" s="68"/>
      <c r="O435" s="68"/>
      <c r="P435" s="68"/>
      <c r="Q435" s="125"/>
      <c r="R435" s="68"/>
    </row>
    <row r="436" spans="1:18" ht="33.75" customHeight="1">
      <c r="A436" s="68"/>
      <c r="B436" s="68"/>
      <c r="C436" s="68"/>
      <c r="D436" s="68"/>
      <c r="E436" s="68"/>
      <c r="F436" s="68"/>
      <c r="G436" s="68"/>
      <c r="H436" s="68"/>
      <c r="I436" s="68"/>
      <c r="J436" s="68"/>
      <c r="K436" s="68"/>
      <c r="L436" s="68"/>
      <c r="M436" s="68"/>
      <c r="N436" s="68"/>
      <c r="O436" s="68"/>
      <c r="P436" s="68"/>
      <c r="Q436" s="125"/>
      <c r="R436" s="68"/>
    </row>
    <row r="437" spans="1:18" ht="33.75" customHeight="1">
      <c r="A437" s="68"/>
      <c r="B437" s="68"/>
      <c r="C437" s="68"/>
      <c r="D437" s="68"/>
      <c r="E437" s="68"/>
      <c r="F437" s="68"/>
      <c r="G437" s="68"/>
      <c r="H437" s="68"/>
      <c r="I437" s="68"/>
      <c r="J437" s="68"/>
      <c r="K437" s="68"/>
      <c r="L437" s="68"/>
      <c r="M437" s="68"/>
      <c r="N437" s="68"/>
      <c r="O437" s="68"/>
      <c r="P437" s="68"/>
      <c r="Q437" s="125"/>
      <c r="R437" s="68"/>
    </row>
    <row r="438" spans="1:18" ht="33.75" customHeight="1">
      <c r="A438" s="68"/>
      <c r="B438" s="68"/>
      <c r="C438" s="68"/>
      <c r="D438" s="68"/>
      <c r="E438" s="68"/>
      <c r="F438" s="68"/>
      <c r="G438" s="68"/>
      <c r="H438" s="68"/>
      <c r="I438" s="68"/>
      <c r="J438" s="68"/>
      <c r="K438" s="68"/>
      <c r="L438" s="68"/>
      <c r="M438" s="68"/>
      <c r="N438" s="68"/>
      <c r="O438" s="68"/>
      <c r="P438" s="68"/>
      <c r="Q438" s="125"/>
      <c r="R438" s="68"/>
    </row>
    <row r="439" spans="1:18" ht="33.75" customHeight="1">
      <c r="A439" s="68"/>
      <c r="B439" s="68"/>
      <c r="C439" s="68"/>
      <c r="D439" s="68"/>
      <c r="E439" s="68"/>
      <c r="F439" s="68"/>
      <c r="G439" s="68"/>
      <c r="H439" s="68"/>
      <c r="I439" s="68"/>
      <c r="J439" s="68"/>
      <c r="K439" s="68"/>
      <c r="L439" s="68"/>
      <c r="M439" s="68"/>
      <c r="N439" s="68"/>
      <c r="O439" s="68"/>
      <c r="P439" s="68"/>
      <c r="Q439" s="125"/>
      <c r="R439" s="68"/>
    </row>
    <row r="440" spans="1:18" ht="33.75" customHeight="1">
      <c r="A440" s="68"/>
      <c r="B440" s="68"/>
      <c r="C440" s="68"/>
      <c r="D440" s="68"/>
      <c r="E440" s="68"/>
      <c r="F440" s="68"/>
      <c r="G440" s="68"/>
      <c r="H440" s="68"/>
      <c r="I440" s="68"/>
      <c r="J440" s="68"/>
      <c r="K440" s="68"/>
      <c r="L440" s="68"/>
      <c r="M440" s="68"/>
      <c r="N440" s="68"/>
      <c r="O440" s="68"/>
      <c r="P440" s="68"/>
      <c r="Q440" s="125"/>
      <c r="R440" s="68"/>
    </row>
    <row r="441" spans="1:18" ht="33.75" customHeight="1">
      <c r="A441" s="68"/>
      <c r="B441" s="68"/>
      <c r="C441" s="68"/>
      <c r="D441" s="68"/>
      <c r="E441" s="68"/>
      <c r="F441" s="68"/>
      <c r="G441" s="68"/>
      <c r="H441" s="68"/>
      <c r="I441" s="68"/>
      <c r="J441" s="68"/>
      <c r="K441" s="68"/>
      <c r="L441" s="68"/>
      <c r="M441" s="68"/>
      <c r="N441" s="68"/>
      <c r="O441" s="68"/>
      <c r="P441" s="68"/>
      <c r="Q441" s="125"/>
      <c r="R441" s="68"/>
    </row>
    <row r="442" spans="1:18" ht="33.75" customHeight="1">
      <c r="A442" s="68"/>
      <c r="B442" s="68"/>
      <c r="C442" s="68"/>
      <c r="D442" s="68"/>
      <c r="E442" s="68"/>
      <c r="F442" s="68"/>
      <c r="G442" s="68"/>
      <c r="H442" s="68"/>
      <c r="I442" s="68"/>
      <c r="J442" s="68"/>
      <c r="K442" s="68"/>
      <c r="L442" s="68"/>
      <c r="M442" s="68"/>
      <c r="N442" s="68"/>
      <c r="O442" s="68"/>
      <c r="P442" s="68"/>
      <c r="Q442" s="125"/>
      <c r="R442" s="68"/>
    </row>
    <row r="443" spans="1:18" ht="33.75" customHeight="1">
      <c r="A443" s="68"/>
      <c r="B443" s="68"/>
      <c r="C443" s="68"/>
      <c r="D443" s="68"/>
      <c r="E443" s="68"/>
      <c r="F443" s="68"/>
      <c r="G443" s="68"/>
      <c r="H443" s="68"/>
      <c r="I443" s="68"/>
      <c r="J443" s="68"/>
      <c r="K443" s="68"/>
      <c r="L443" s="68"/>
      <c r="M443" s="68"/>
      <c r="N443" s="68"/>
      <c r="O443" s="68"/>
      <c r="P443" s="68"/>
      <c r="Q443" s="125"/>
      <c r="R443" s="68"/>
    </row>
    <row r="444" spans="1:18" ht="33.75" customHeight="1">
      <c r="A444" s="68"/>
      <c r="B444" s="68"/>
      <c r="C444" s="68"/>
      <c r="D444" s="68"/>
      <c r="E444" s="68"/>
      <c r="F444" s="68"/>
      <c r="G444" s="68"/>
      <c r="H444" s="68"/>
      <c r="I444" s="68"/>
      <c r="J444" s="68"/>
      <c r="K444" s="68"/>
      <c r="L444" s="68"/>
      <c r="M444" s="68"/>
      <c r="N444" s="68"/>
      <c r="O444" s="68"/>
      <c r="P444" s="68"/>
      <c r="Q444" s="125"/>
      <c r="R444" s="68"/>
    </row>
    <row r="445" spans="1:18" ht="33.75" customHeight="1">
      <c r="A445" s="68"/>
      <c r="B445" s="68"/>
      <c r="C445" s="68"/>
      <c r="D445" s="68"/>
      <c r="E445" s="68"/>
      <c r="F445" s="68"/>
      <c r="G445" s="68"/>
      <c r="H445" s="68"/>
      <c r="I445" s="68"/>
      <c r="J445" s="68"/>
      <c r="K445" s="68"/>
      <c r="L445" s="68"/>
      <c r="M445" s="68"/>
      <c r="N445" s="68"/>
      <c r="O445" s="68"/>
      <c r="P445" s="68"/>
      <c r="Q445" s="125"/>
      <c r="R445" s="68"/>
    </row>
    <row r="446" spans="1:18" ht="33.75" customHeight="1">
      <c r="A446" s="68"/>
      <c r="B446" s="68"/>
      <c r="C446" s="68"/>
      <c r="D446" s="68"/>
      <c r="E446" s="68"/>
      <c r="F446" s="68"/>
      <c r="G446" s="68"/>
      <c r="H446" s="68"/>
      <c r="I446" s="68"/>
      <c r="J446" s="68"/>
      <c r="K446" s="68"/>
      <c r="L446" s="68"/>
      <c r="M446" s="68"/>
      <c r="N446" s="68"/>
      <c r="O446" s="68"/>
      <c r="P446" s="68"/>
      <c r="Q446" s="125"/>
      <c r="R446" s="68"/>
    </row>
    <row r="447" spans="1:18" ht="33.75" customHeight="1">
      <c r="A447" s="68"/>
      <c r="B447" s="68"/>
      <c r="C447" s="68"/>
      <c r="D447" s="68"/>
      <c r="E447" s="68"/>
      <c r="F447" s="68"/>
      <c r="G447" s="68"/>
      <c r="H447" s="68"/>
      <c r="I447" s="68"/>
      <c r="J447" s="68"/>
      <c r="K447" s="68"/>
      <c r="L447" s="68"/>
      <c r="M447" s="68"/>
      <c r="N447" s="68"/>
      <c r="O447" s="68"/>
      <c r="P447" s="68"/>
      <c r="Q447" s="125"/>
      <c r="R447" s="68"/>
    </row>
    <row r="448" spans="1:18" ht="33.75" customHeight="1">
      <c r="A448" s="68"/>
      <c r="B448" s="68"/>
      <c r="C448" s="68"/>
      <c r="D448" s="68"/>
      <c r="E448" s="68"/>
      <c r="F448" s="68"/>
      <c r="G448" s="68"/>
      <c r="H448" s="68"/>
      <c r="I448" s="68"/>
      <c r="J448" s="68"/>
      <c r="K448" s="68"/>
      <c r="L448" s="68"/>
      <c r="M448" s="68"/>
      <c r="N448" s="68"/>
      <c r="O448" s="68"/>
      <c r="P448" s="68"/>
      <c r="Q448" s="125"/>
      <c r="R448" s="68"/>
    </row>
    <row r="449" spans="1:18" ht="33.75" customHeight="1">
      <c r="A449" s="68"/>
      <c r="B449" s="68"/>
      <c r="C449" s="68"/>
      <c r="D449" s="68"/>
      <c r="E449" s="68"/>
      <c r="F449" s="68"/>
      <c r="G449" s="68"/>
      <c r="H449" s="68"/>
      <c r="I449" s="68"/>
      <c r="J449" s="68"/>
      <c r="K449" s="68"/>
      <c r="L449" s="68"/>
      <c r="M449" s="68"/>
      <c r="N449" s="68"/>
      <c r="O449" s="68"/>
      <c r="P449" s="68"/>
      <c r="Q449" s="125"/>
      <c r="R449" s="68"/>
    </row>
    <row r="450" spans="1:18" ht="33.75" customHeight="1">
      <c r="A450" s="68"/>
      <c r="B450" s="68"/>
      <c r="C450" s="68"/>
      <c r="D450" s="68"/>
      <c r="E450" s="68"/>
      <c r="F450" s="68"/>
      <c r="G450" s="68"/>
      <c r="H450" s="68"/>
      <c r="I450" s="68"/>
      <c r="J450" s="68"/>
      <c r="K450" s="68"/>
      <c r="L450" s="68"/>
      <c r="M450" s="68"/>
      <c r="N450" s="68"/>
      <c r="O450" s="68"/>
      <c r="P450" s="68"/>
      <c r="Q450" s="125"/>
      <c r="R450" s="68"/>
    </row>
    <row r="451" spans="1:18" ht="33.75" customHeight="1">
      <c r="A451" s="68"/>
      <c r="B451" s="68"/>
      <c r="C451" s="68"/>
      <c r="D451" s="68"/>
      <c r="E451" s="68"/>
      <c r="F451" s="68"/>
      <c r="G451" s="68"/>
      <c r="H451" s="68"/>
      <c r="I451" s="68"/>
      <c r="J451" s="68"/>
      <c r="K451" s="68"/>
      <c r="L451" s="68"/>
      <c r="M451" s="68"/>
      <c r="N451" s="68"/>
      <c r="O451" s="68"/>
      <c r="P451" s="68"/>
      <c r="Q451" s="125"/>
      <c r="R451" s="68"/>
    </row>
    <row r="452" spans="1:18" ht="33.75" customHeight="1">
      <c r="A452" s="68"/>
      <c r="B452" s="68"/>
      <c r="C452" s="68"/>
      <c r="D452" s="68"/>
      <c r="E452" s="68"/>
      <c r="F452" s="68"/>
      <c r="G452" s="68"/>
      <c r="H452" s="68"/>
      <c r="I452" s="68"/>
      <c r="J452" s="68"/>
      <c r="K452" s="68"/>
      <c r="L452" s="68"/>
      <c r="M452" s="68"/>
      <c r="N452" s="68"/>
      <c r="O452" s="68"/>
      <c r="P452" s="68"/>
      <c r="Q452" s="125"/>
      <c r="R452" s="68"/>
    </row>
    <row r="453" spans="1:18" ht="33.75" customHeight="1">
      <c r="A453" s="68"/>
      <c r="B453" s="68"/>
      <c r="C453" s="68"/>
      <c r="D453" s="68"/>
      <c r="E453" s="68"/>
      <c r="F453" s="68"/>
      <c r="G453" s="68"/>
      <c r="H453" s="68"/>
      <c r="I453" s="68"/>
      <c r="J453" s="68"/>
      <c r="K453" s="68"/>
      <c r="L453" s="68"/>
      <c r="M453" s="68"/>
      <c r="N453" s="68"/>
      <c r="O453" s="68"/>
      <c r="P453" s="68"/>
      <c r="Q453" s="125"/>
      <c r="R453" s="68"/>
    </row>
    <row r="454" spans="1:18" ht="33.75" customHeight="1">
      <c r="A454" s="68"/>
      <c r="B454" s="68"/>
      <c r="C454" s="68"/>
      <c r="D454" s="68"/>
      <c r="E454" s="68"/>
      <c r="F454" s="68"/>
      <c r="G454" s="68"/>
      <c r="H454" s="68"/>
      <c r="I454" s="68"/>
      <c r="J454" s="68"/>
      <c r="K454" s="68"/>
      <c r="L454" s="68"/>
      <c r="M454" s="68"/>
      <c r="N454" s="68"/>
      <c r="O454" s="68"/>
      <c r="P454" s="68"/>
      <c r="Q454" s="125"/>
      <c r="R454" s="68"/>
    </row>
    <row r="455" spans="1:18" ht="33.75" customHeight="1">
      <c r="A455" s="68"/>
      <c r="B455" s="68"/>
      <c r="C455" s="68"/>
      <c r="D455" s="68"/>
      <c r="E455" s="68"/>
      <c r="F455" s="68"/>
      <c r="G455" s="68"/>
      <c r="H455" s="68"/>
      <c r="I455" s="68"/>
      <c r="J455" s="68"/>
      <c r="K455" s="68"/>
      <c r="L455" s="68"/>
      <c r="M455" s="68"/>
      <c r="N455" s="68"/>
      <c r="O455" s="68"/>
      <c r="P455" s="68"/>
      <c r="Q455" s="125"/>
      <c r="R455" s="68"/>
    </row>
    <row r="456" spans="1:18" ht="33.75" customHeight="1">
      <c r="A456" s="68"/>
      <c r="B456" s="68"/>
      <c r="C456" s="68"/>
      <c r="D456" s="68"/>
      <c r="E456" s="68"/>
      <c r="F456" s="68"/>
      <c r="G456" s="68"/>
      <c r="H456" s="68"/>
      <c r="I456" s="68"/>
      <c r="J456" s="68"/>
      <c r="K456" s="68"/>
      <c r="L456" s="68"/>
      <c r="M456" s="68"/>
      <c r="N456" s="68"/>
      <c r="O456" s="68"/>
      <c r="P456" s="68"/>
      <c r="Q456" s="125"/>
      <c r="R456" s="68"/>
    </row>
    <row r="457" spans="1:18" ht="33.75" customHeight="1">
      <c r="A457" s="68"/>
      <c r="B457" s="68"/>
      <c r="C457" s="68"/>
      <c r="D457" s="68"/>
      <c r="E457" s="68"/>
      <c r="F457" s="68"/>
      <c r="G457" s="68"/>
      <c r="H457" s="68"/>
      <c r="I457" s="68"/>
      <c r="J457" s="68"/>
      <c r="K457" s="68"/>
      <c r="L457" s="68"/>
      <c r="M457" s="68"/>
      <c r="N457" s="68"/>
      <c r="O457" s="68"/>
      <c r="P457" s="68"/>
      <c r="Q457" s="125"/>
      <c r="R457" s="68"/>
    </row>
    <row r="458" spans="1:18" ht="33.75" customHeight="1">
      <c r="A458" s="68"/>
      <c r="B458" s="68"/>
      <c r="C458" s="68"/>
      <c r="D458" s="68"/>
      <c r="E458" s="68"/>
      <c r="F458" s="68"/>
      <c r="G458" s="68"/>
      <c r="H458" s="68"/>
      <c r="I458" s="68"/>
      <c r="J458" s="68"/>
      <c r="K458" s="68"/>
      <c r="L458" s="68"/>
      <c r="M458" s="68"/>
      <c r="N458" s="68"/>
      <c r="O458" s="68"/>
      <c r="P458" s="68"/>
      <c r="Q458" s="125"/>
      <c r="R458" s="68"/>
    </row>
    <row r="459" spans="1:18" ht="33.75" customHeight="1">
      <c r="A459" s="68"/>
      <c r="B459" s="68"/>
      <c r="C459" s="68"/>
      <c r="D459" s="68"/>
      <c r="E459" s="68"/>
      <c r="F459" s="68"/>
      <c r="G459" s="68"/>
      <c r="H459" s="68"/>
      <c r="I459" s="68"/>
      <c r="J459" s="68"/>
      <c r="K459" s="68"/>
      <c r="L459" s="68"/>
      <c r="M459" s="68"/>
      <c r="N459" s="68"/>
      <c r="O459" s="68"/>
      <c r="P459" s="68"/>
      <c r="Q459" s="125"/>
      <c r="R459" s="68"/>
    </row>
    <row r="460" spans="1:18" ht="33.75" customHeight="1">
      <c r="A460" s="68"/>
      <c r="B460" s="68"/>
      <c r="C460" s="68"/>
      <c r="D460" s="68"/>
      <c r="E460" s="68"/>
      <c r="F460" s="68"/>
      <c r="G460" s="68"/>
      <c r="H460" s="68"/>
      <c r="I460" s="68"/>
      <c r="J460" s="68"/>
      <c r="K460" s="68"/>
      <c r="L460" s="68"/>
      <c r="M460" s="68"/>
      <c r="N460" s="68"/>
      <c r="O460" s="68"/>
      <c r="P460" s="68"/>
      <c r="Q460" s="125"/>
      <c r="R460" s="68"/>
    </row>
    <row r="461" spans="1:18" ht="33.75" customHeight="1">
      <c r="A461" s="68"/>
      <c r="B461" s="68"/>
      <c r="C461" s="68"/>
      <c r="D461" s="68"/>
      <c r="E461" s="68"/>
      <c r="F461" s="68"/>
      <c r="G461" s="68"/>
      <c r="H461" s="68"/>
      <c r="I461" s="68"/>
      <c r="J461" s="68"/>
      <c r="K461" s="68"/>
      <c r="L461" s="68"/>
      <c r="M461" s="68"/>
      <c r="N461" s="68"/>
      <c r="O461" s="68"/>
      <c r="P461" s="68"/>
      <c r="Q461" s="125"/>
      <c r="R461" s="68"/>
    </row>
    <row r="462" spans="1:18" ht="33.75" customHeight="1">
      <c r="A462" s="68"/>
      <c r="B462" s="68"/>
      <c r="C462" s="68"/>
      <c r="D462" s="68"/>
      <c r="E462" s="68"/>
      <c r="F462" s="68"/>
      <c r="G462" s="68"/>
      <c r="H462" s="68"/>
      <c r="I462" s="68"/>
      <c r="J462" s="68"/>
      <c r="K462" s="68"/>
      <c r="L462" s="68"/>
      <c r="M462" s="68"/>
      <c r="N462" s="68"/>
      <c r="O462" s="68"/>
      <c r="P462" s="68"/>
      <c r="Q462" s="125"/>
      <c r="R462" s="68"/>
    </row>
    <row r="463" spans="1:18" ht="33.75" customHeight="1">
      <c r="A463" s="68"/>
      <c r="B463" s="68"/>
      <c r="C463" s="68"/>
      <c r="D463" s="68"/>
      <c r="E463" s="68"/>
      <c r="F463" s="68"/>
      <c r="G463" s="68"/>
      <c r="H463" s="68"/>
      <c r="I463" s="68"/>
      <c r="J463" s="68"/>
      <c r="K463" s="68"/>
      <c r="L463" s="68"/>
      <c r="M463" s="68"/>
      <c r="N463" s="68"/>
      <c r="O463" s="68"/>
      <c r="P463" s="68"/>
      <c r="Q463" s="125"/>
      <c r="R463" s="68"/>
    </row>
    <row r="464" spans="1:18" ht="33.75" customHeight="1">
      <c r="A464" s="68"/>
      <c r="B464" s="68"/>
      <c r="C464" s="68"/>
      <c r="D464" s="68"/>
      <c r="E464" s="68"/>
      <c r="F464" s="68"/>
      <c r="G464" s="68"/>
      <c r="H464" s="68"/>
      <c r="I464" s="68"/>
      <c r="J464" s="68"/>
      <c r="K464" s="68"/>
      <c r="L464" s="68"/>
      <c r="M464" s="68"/>
      <c r="N464" s="68"/>
      <c r="O464" s="68"/>
      <c r="P464" s="68"/>
      <c r="Q464" s="125"/>
      <c r="R464" s="68"/>
    </row>
    <row r="465" spans="1:18" ht="33.75" customHeight="1">
      <c r="A465" s="68"/>
      <c r="B465" s="68"/>
      <c r="C465" s="68"/>
      <c r="D465" s="68"/>
      <c r="E465" s="68"/>
      <c r="F465" s="68"/>
      <c r="G465" s="68"/>
      <c r="H465" s="68"/>
      <c r="I465" s="68"/>
      <c r="J465" s="68"/>
      <c r="K465" s="68"/>
      <c r="L465" s="68"/>
      <c r="M465" s="68"/>
      <c r="N465" s="68"/>
      <c r="O465" s="68"/>
      <c r="P465" s="68"/>
      <c r="Q465" s="125"/>
      <c r="R465" s="68"/>
    </row>
    <row r="466" spans="1:18" ht="33.75" customHeight="1">
      <c r="A466" s="68"/>
      <c r="B466" s="68"/>
      <c r="C466" s="68"/>
      <c r="D466" s="68"/>
      <c r="E466" s="68"/>
      <c r="F466" s="68"/>
      <c r="G466" s="68"/>
      <c r="H466" s="68"/>
      <c r="I466" s="68"/>
      <c r="J466" s="68"/>
      <c r="K466" s="68"/>
      <c r="L466" s="68"/>
      <c r="M466" s="68"/>
      <c r="N466" s="68"/>
      <c r="O466" s="68"/>
      <c r="P466" s="68"/>
      <c r="Q466" s="125"/>
      <c r="R466" s="68"/>
    </row>
    <row r="467" spans="1:18" ht="33.75" customHeight="1">
      <c r="A467" s="68"/>
      <c r="B467" s="68"/>
      <c r="C467" s="68"/>
      <c r="D467" s="68"/>
      <c r="E467" s="68"/>
      <c r="F467" s="68"/>
      <c r="G467" s="68"/>
      <c r="H467" s="68"/>
      <c r="I467" s="68"/>
      <c r="J467" s="68"/>
      <c r="K467" s="68"/>
      <c r="L467" s="68"/>
      <c r="M467" s="68"/>
      <c r="N467" s="68"/>
      <c r="O467" s="68"/>
      <c r="P467" s="68"/>
      <c r="Q467" s="125"/>
      <c r="R467" s="68"/>
    </row>
    <row r="468" spans="1:18" ht="33.75" customHeight="1">
      <c r="A468" s="68"/>
      <c r="B468" s="68"/>
      <c r="C468" s="68"/>
      <c r="D468" s="68"/>
      <c r="E468" s="68"/>
      <c r="F468" s="68"/>
      <c r="G468" s="68"/>
      <c r="H468" s="68"/>
      <c r="I468" s="68"/>
      <c r="J468" s="68"/>
      <c r="K468" s="68"/>
      <c r="L468" s="68"/>
      <c r="M468" s="68"/>
      <c r="N468" s="68"/>
      <c r="O468" s="68"/>
      <c r="P468" s="68"/>
      <c r="Q468" s="125"/>
      <c r="R468" s="68"/>
    </row>
    <row r="469" spans="1:18" ht="33.75" customHeight="1">
      <c r="A469" s="68"/>
      <c r="B469" s="68"/>
      <c r="C469" s="68"/>
      <c r="D469" s="68"/>
      <c r="E469" s="68"/>
      <c r="F469" s="68"/>
      <c r="G469" s="68"/>
      <c r="H469" s="68"/>
      <c r="I469" s="68"/>
      <c r="J469" s="68"/>
      <c r="K469" s="68"/>
      <c r="L469" s="68"/>
      <c r="M469" s="68"/>
      <c r="N469" s="68"/>
      <c r="O469" s="68"/>
      <c r="P469" s="68"/>
      <c r="Q469" s="125"/>
      <c r="R469" s="68"/>
    </row>
    <row r="470" spans="1:18" ht="33.75" customHeight="1">
      <c r="A470" s="68"/>
      <c r="B470" s="68"/>
      <c r="C470" s="68"/>
      <c r="D470" s="68"/>
      <c r="E470" s="68"/>
      <c r="F470" s="68"/>
      <c r="G470" s="68"/>
      <c r="H470" s="68"/>
      <c r="I470" s="68"/>
      <c r="J470" s="68"/>
      <c r="K470" s="68"/>
      <c r="L470" s="68"/>
      <c r="M470" s="68"/>
      <c r="N470" s="68"/>
      <c r="O470" s="68"/>
      <c r="P470" s="68"/>
      <c r="Q470" s="125"/>
      <c r="R470" s="68"/>
    </row>
    <row r="471" spans="1:18" ht="33.75" customHeight="1">
      <c r="A471" s="68"/>
      <c r="B471" s="68"/>
      <c r="C471" s="68"/>
      <c r="D471" s="68"/>
      <c r="E471" s="68"/>
      <c r="F471" s="68"/>
      <c r="G471" s="68"/>
      <c r="H471" s="68"/>
      <c r="I471" s="68"/>
      <c r="J471" s="68"/>
      <c r="K471" s="68"/>
      <c r="L471" s="68"/>
      <c r="M471" s="68"/>
      <c r="N471" s="68"/>
      <c r="O471" s="68"/>
      <c r="P471" s="68"/>
      <c r="Q471" s="125"/>
      <c r="R471" s="68"/>
    </row>
    <row r="472" spans="1:18" ht="33.75" customHeight="1">
      <c r="A472" s="68"/>
      <c r="B472" s="68"/>
      <c r="C472" s="68"/>
      <c r="D472" s="68"/>
      <c r="E472" s="68"/>
      <c r="F472" s="68"/>
      <c r="G472" s="68"/>
      <c r="H472" s="68"/>
      <c r="I472" s="68"/>
      <c r="J472" s="68"/>
      <c r="K472" s="68"/>
      <c r="L472" s="68"/>
      <c r="M472" s="68"/>
      <c r="N472" s="68"/>
      <c r="O472" s="68"/>
      <c r="P472" s="68"/>
      <c r="Q472" s="125"/>
      <c r="R472" s="68"/>
    </row>
    <row r="473" spans="1:18" ht="33.75" customHeight="1">
      <c r="A473" s="68"/>
      <c r="B473" s="68"/>
      <c r="C473" s="68"/>
      <c r="D473" s="68"/>
      <c r="E473" s="68"/>
      <c r="F473" s="68"/>
      <c r="G473" s="68"/>
      <c r="H473" s="68"/>
      <c r="I473" s="68"/>
      <c r="J473" s="68"/>
      <c r="K473" s="68"/>
      <c r="L473" s="68"/>
      <c r="M473" s="68"/>
      <c r="N473" s="68"/>
      <c r="O473" s="68"/>
      <c r="P473" s="68"/>
      <c r="Q473" s="125"/>
      <c r="R473" s="68"/>
    </row>
    <row r="474" spans="1:18" ht="33.75" customHeight="1">
      <c r="A474" s="68"/>
      <c r="B474" s="68"/>
      <c r="C474" s="68"/>
      <c r="D474" s="68"/>
      <c r="E474" s="68"/>
      <c r="F474" s="68"/>
      <c r="G474" s="68"/>
      <c r="H474" s="68"/>
      <c r="I474" s="68"/>
      <c r="J474" s="68"/>
      <c r="K474" s="68"/>
      <c r="L474" s="68"/>
      <c r="M474" s="68"/>
      <c r="N474" s="68"/>
      <c r="O474" s="68"/>
      <c r="P474" s="68"/>
      <c r="Q474" s="125"/>
      <c r="R474" s="68"/>
    </row>
    <row r="475" spans="1:18" ht="33.75" customHeight="1">
      <c r="A475" s="68"/>
      <c r="B475" s="68"/>
      <c r="C475" s="68"/>
      <c r="D475" s="68"/>
      <c r="E475" s="68"/>
      <c r="F475" s="68"/>
      <c r="G475" s="68"/>
      <c r="H475" s="68"/>
      <c r="I475" s="68"/>
      <c r="J475" s="68"/>
      <c r="K475" s="68"/>
      <c r="L475" s="68"/>
      <c r="M475" s="68"/>
      <c r="N475" s="68"/>
      <c r="O475" s="68"/>
      <c r="P475" s="68"/>
      <c r="Q475" s="125"/>
      <c r="R475" s="68"/>
    </row>
    <row r="476" spans="1:18" ht="33.75" customHeight="1">
      <c r="A476" s="68"/>
      <c r="B476" s="68"/>
      <c r="C476" s="68"/>
      <c r="D476" s="68"/>
      <c r="E476" s="68"/>
      <c r="F476" s="68"/>
      <c r="G476" s="68"/>
      <c r="H476" s="68"/>
      <c r="I476" s="68"/>
      <c r="J476" s="68"/>
      <c r="K476" s="68"/>
      <c r="L476" s="68"/>
      <c r="M476" s="68"/>
      <c r="N476" s="68"/>
      <c r="O476" s="68"/>
      <c r="P476" s="68"/>
      <c r="Q476" s="125"/>
      <c r="R476" s="68"/>
    </row>
    <row r="477" spans="1:18" ht="33.75" customHeight="1">
      <c r="A477" s="68"/>
      <c r="B477" s="68"/>
      <c r="C477" s="68"/>
      <c r="D477" s="68"/>
      <c r="E477" s="68"/>
      <c r="F477" s="68"/>
      <c r="G477" s="68"/>
      <c r="H477" s="68"/>
      <c r="I477" s="68"/>
      <c r="J477" s="68"/>
      <c r="K477" s="68"/>
      <c r="L477" s="68"/>
      <c r="M477" s="68"/>
      <c r="N477" s="68"/>
      <c r="O477" s="68"/>
      <c r="P477" s="68"/>
      <c r="Q477" s="125"/>
      <c r="R477" s="68"/>
    </row>
    <row r="478" spans="1:18" ht="33.75" customHeight="1">
      <c r="A478" s="68"/>
      <c r="B478" s="68"/>
      <c r="C478" s="68"/>
      <c r="D478" s="68"/>
      <c r="E478" s="68"/>
      <c r="F478" s="68"/>
      <c r="G478" s="68"/>
      <c r="H478" s="68"/>
      <c r="I478" s="68"/>
      <c r="J478" s="68"/>
      <c r="K478" s="68"/>
      <c r="L478" s="68"/>
      <c r="M478" s="68"/>
      <c r="N478" s="68"/>
      <c r="O478" s="68"/>
      <c r="P478" s="68"/>
      <c r="Q478" s="125"/>
      <c r="R478" s="68"/>
    </row>
    <row r="479" spans="1:18" ht="33.75" customHeight="1">
      <c r="A479" s="68"/>
      <c r="B479" s="68"/>
      <c r="C479" s="68"/>
      <c r="D479" s="68"/>
      <c r="E479" s="68"/>
      <c r="F479" s="68"/>
      <c r="G479" s="68"/>
      <c r="H479" s="68"/>
      <c r="I479" s="68"/>
      <c r="J479" s="68"/>
      <c r="K479" s="68"/>
      <c r="L479" s="68"/>
      <c r="M479" s="68"/>
      <c r="N479" s="68"/>
      <c r="O479" s="68"/>
      <c r="P479" s="68"/>
      <c r="Q479" s="125"/>
      <c r="R479" s="68"/>
    </row>
    <row r="480" spans="1:18" ht="33.75" customHeight="1">
      <c r="A480" s="68"/>
      <c r="B480" s="68"/>
      <c r="C480" s="68"/>
      <c r="D480" s="68"/>
      <c r="E480" s="68"/>
      <c r="F480" s="68"/>
      <c r="G480" s="68"/>
      <c r="H480" s="68"/>
      <c r="I480" s="68"/>
      <c r="J480" s="68"/>
      <c r="K480" s="68"/>
      <c r="L480" s="68"/>
      <c r="M480" s="68"/>
      <c r="N480" s="68"/>
      <c r="O480" s="68"/>
      <c r="P480" s="68"/>
      <c r="Q480" s="125"/>
      <c r="R480" s="68"/>
    </row>
    <row r="481" spans="1:18" ht="33.75" customHeight="1">
      <c r="A481" s="68"/>
      <c r="B481" s="68"/>
      <c r="C481" s="68"/>
      <c r="D481" s="68"/>
      <c r="E481" s="68"/>
      <c r="F481" s="68"/>
      <c r="G481" s="68"/>
      <c r="H481" s="68"/>
      <c r="I481" s="68"/>
      <c r="J481" s="68"/>
      <c r="K481" s="68"/>
      <c r="L481" s="68"/>
      <c r="M481" s="68"/>
      <c r="N481" s="68"/>
      <c r="O481" s="68"/>
      <c r="P481" s="68"/>
      <c r="Q481" s="125"/>
      <c r="R481" s="68"/>
    </row>
    <row r="482" spans="1:18" ht="33.75" customHeight="1">
      <c r="A482" s="68"/>
      <c r="B482" s="68"/>
      <c r="C482" s="68"/>
      <c r="D482" s="68"/>
      <c r="E482" s="68"/>
      <c r="F482" s="68"/>
      <c r="G482" s="68"/>
      <c r="H482" s="68"/>
      <c r="I482" s="68"/>
      <c r="J482" s="68"/>
      <c r="K482" s="68"/>
      <c r="L482" s="68"/>
      <c r="M482" s="68"/>
      <c r="N482" s="68"/>
      <c r="O482" s="68"/>
      <c r="P482" s="68"/>
      <c r="Q482" s="125"/>
      <c r="R482" s="68"/>
    </row>
    <row r="483" spans="1:18" ht="33.75" customHeight="1">
      <c r="A483" s="68"/>
      <c r="B483" s="68"/>
      <c r="C483" s="68"/>
      <c r="D483" s="68"/>
      <c r="E483" s="68"/>
      <c r="F483" s="68"/>
      <c r="G483" s="68"/>
      <c r="H483" s="68"/>
      <c r="I483" s="68"/>
      <c r="J483" s="68"/>
      <c r="K483" s="68"/>
      <c r="L483" s="68"/>
      <c r="M483" s="68"/>
      <c r="N483" s="68"/>
      <c r="O483" s="68"/>
      <c r="P483" s="68"/>
      <c r="Q483" s="125"/>
      <c r="R483" s="68"/>
    </row>
    <row r="484" spans="1:18" ht="33.75" customHeight="1">
      <c r="A484" s="68"/>
      <c r="B484" s="68"/>
      <c r="C484" s="68"/>
      <c r="D484" s="68"/>
      <c r="E484" s="68"/>
      <c r="F484" s="68"/>
      <c r="G484" s="68"/>
      <c r="H484" s="68"/>
      <c r="I484" s="68"/>
      <c r="J484" s="68"/>
      <c r="K484" s="68"/>
      <c r="L484" s="68"/>
      <c r="M484" s="68"/>
      <c r="N484" s="68"/>
      <c r="O484" s="68"/>
      <c r="P484" s="68"/>
      <c r="Q484" s="125"/>
      <c r="R484" s="68"/>
    </row>
    <row r="485" spans="1:18" ht="33.75" customHeight="1">
      <c r="A485" s="68"/>
      <c r="B485" s="68"/>
      <c r="C485" s="68"/>
      <c r="D485" s="68"/>
      <c r="E485" s="68"/>
      <c r="F485" s="68"/>
      <c r="G485" s="68"/>
      <c r="H485" s="68"/>
      <c r="I485" s="68"/>
      <c r="J485" s="68"/>
      <c r="K485" s="68"/>
      <c r="L485" s="68"/>
      <c r="M485" s="68"/>
      <c r="N485" s="68"/>
      <c r="O485" s="68"/>
      <c r="P485" s="68"/>
      <c r="Q485" s="125"/>
      <c r="R485" s="68"/>
    </row>
    <row r="486" spans="1:18" ht="33.75" customHeight="1">
      <c r="A486" s="68"/>
      <c r="B486" s="68"/>
      <c r="C486" s="68"/>
      <c r="D486" s="68"/>
      <c r="E486" s="68"/>
      <c r="F486" s="68"/>
      <c r="G486" s="68"/>
      <c r="H486" s="68"/>
      <c r="I486" s="68"/>
      <c r="J486" s="68"/>
      <c r="K486" s="68"/>
      <c r="L486" s="68"/>
      <c r="M486" s="68"/>
      <c r="N486" s="68"/>
      <c r="O486" s="68"/>
      <c r="P486" s="68"/>
      <c r="Q486" s="125"/>
      <c r="R486" s="68"/>
    </row>
    <row r="487" spans="1:18" ht="33.75" customHeight="1">
      <c r="A487" s="68"/>
      <c r="B487" s="68"/>
      <c r="C487" s="68"/>
      <c r="D487" s="68"/>
      <c r="E487" s="68"/>
      <c r="F487" s="68"/>
      <c r="G487" s="68"/>
      <c r="H487" s="68"/>
      <c r="I487" s="68"/>
      <c r="J487" s="68"/>
      <c r="K487" s="68"/>
      <c r="L487" s="68"/>
      <c r="M487" s="68"/>
      <c r="N487" s="68"/>
      <c r="O487" s="68"/>
      <c r="P487" s="68"/>
      <c r="Q487" s="125"/>
      <c r="R487" s="68"/>
    </row>
    <row r="488" spans="1:18" ht="33.75" customHeight="1">
      <c r="A488" s="68"/>
      <c r="B488" s="68"/>
      <c r="C488" s="68"/>
      <c r="D488" s="68"/>
      <c r="E488" s="68"/>
      <c r="F488" s="68"/>
      <c r="G488" s="68"/>
      <c r="H488" s="68"/>
      <c r="I488" s="68"/>
      <c r="J488" s="68"/>
      <c r="K488" s="68"/>
      <c r="L488" s="68"/>
      <c r="M488" s="68"/>
      <c r="N488" s="68"/>
      <c r="O488" s="68"/>
      <c r="P488" s="68"/>
      <c r="Q488" s="125"/>
      <c r="R488" s="68"/>
    </row>
    <row r="489" spans="1:18" ht="33.75" customHeight="1">
      <c r="A489" s="68"/>
      <c r="B489" s="68"/>
      <c r="C489" s="68"/>
      <c r="D489" s="68"/>
      <c r="E489" s="68"/>
      <c r="F489" s="68"/>
      <c r="G489" s="68"/>
      <c r="H489" s="68"/>
      <c r="I489" s="68"/>
      <c r="J489" s="68"/>
      <c r="K489" s="68"/>
      <c r="L489" s="68"/>
      <c r="M489" s="68"/>
      <c r="N489" s="68"/>
      <c r="O489" s="68"/>
      <c r="P489" s="68"/>
      <c r="Q489" s="125"/>
      <c r="R489" s="68"/>
    </row>
    <row r="490" spans="1:18" ht="33.75" customHeight="1">
      <c r="A490" s="68"/>
      <c r="B490" s="68"/>
      <c r="C490" s="68"/>
      <c r="D490" s="68"/>
      <c r="E490" s="68"/>
      <c r="F490" s="68"/>
      <c r="G490" s="68"/>
      <c r="H490" s="68"/>
      <c r="I490" s="68"/>
      <c r="J490" s="68"/>
      <c r="K490" s="68"/>
      <c r="L490" s="68"/>
      <c r="M490" s="68"/>
      <c r="N490" s="68"/>
      <c r="O490" s="68"/>
      <c r="P490" s="68"/>
      <c r="Q490" s="125"/>
      <c r="R490" s="68"/>
    </row>
    <row r="491" spans="1:18" ht="33.75" customHeight="1">
      <c r="A491" s="68"/>
      <c r="B491" s="68"/>
      <c r="C491" s="68"/>
      <c r="D491" s="68"/>
      <c r="E491" s="68"/>
      <c r="F491" s="68"/>
      <c r="G491" s="68"/>
      <c r="H491" s="68"/>
      <c r="I491" s="68"/>
      <c r="J491" s="68"/>
      <c r="K491" s="68"/>
      <c r="L491" s="68"/>
      <c r="M491" s="68"/>
      <c r="N491" s="68"/>
      <c r="O491" s="68"/>
      <c r="P491" s="68"/>
      <c r="Q491" s="125"/>
      <c r="R491" s="68"/>
    </row>
    <row r="492" spans="1:18" ht="33.75" customHeight="1">
      <c r="A492" s="68"/>
      <c r="B492" s="68"/>
      <c r="C492" s="68"/>
      <c r="D492" s="68"/>
      <c r="E492" s="68"/>
      <c r="F492" s="68"/>
      <c r="G492" s="68"/>
      <c r="H492" s="68"/>
      <c r="I492" s="68"/>
      <c r="J492" s="68"/>
      <c r="K492" s="68"/>
      <c r="L492" s="68"/>
      <c r="M492" s="68"/>
      <c r="N492" s="68"/>
      <c r="O492" s="68"/>
      <c r="P492" s="68"/>
      <c r="Q492" s="125"/>
      <c r="R492" s="68"/>
    </row>
    <row r="493" spans="1:18" ht="33.75" customHeight="1">
      <c r="A493" s="68"/>
      <c r="B493" s="68"/>
      <c r="C493" s="68"/>
      <c r="D493" s="68"/>
      <c r="E493" s="68"/>
      <c r="F493" s="68"/>
      <c r="G493" s="68"/>
      <c r="H493" s="68"/>
      <c r="I493" s="68"/>
      <c r="J493" s="68"/>
      <c r="K493" s="68"/>
      <c r="L493" s="68"/>
      <c r="M493" s="68"/>
      <c r="N493" s="68"/>
      <c r="O493" s="68"/>
      <c r="P493" s="68"/>
      <c r="Q493" s="125"/>
      <c r="R493" s="68"/>
    </row>
    <row r="494" spans="1:18" ht="33.75" customHeight="1">
      <c r="A494" s="68"/>
      <c r="B494" s="68"/>
      <c r="C494" s="68"/>
      <c r="D494" s="68"/>
      <c r="E494" s="68"/>
      <c r="F494" s="68"/>
      <c r="G494" s="68"/>
      <c r="H494" s="68"/>
      <c r="I494" s="68"/>
      <c r="J494" s="68"/>
      <c r="K494" s="68"/>
      <c r="L494" s="68"/>
      <c r="M494" s="68"/>
      <c r="N494" s="68"/>
      <c r="O494" s="68"/>
      <c r="P494" s="68"/>
      <c r="Q494" s="125"/>
      <c r="R494" s="68"/>
    </row>
    <row r="495" spans="1:18" ht="33.75" customHeight="1">
      <c r="A495" s="68"/>
      <c r="B495" s="68"/>
      <c r="C495" s="68"/>
      <c r="D495" s="68"/>
      <c r="E495" s="68"/>
      <c r="F495" s="68"/>
      <c r="G495" s="68"/>
      <c r="H495" s="68"/>
      <c r="I495" s="68"/>
      <c r="J495" s="68"/>
      <c r="K495" s="68"/>
      <c r="L495" s="68"/>
      <c r="M495" s="68"/>
      <c r="N495" s="68"/>
      <c r="O495" s="68"/>
      <c r="P495" s="68"/>
      <c r="Q495" s="125"/>
      <c r="R495" s="68"/>
    </row>
    <row r="496" spans="1:18" ht="33.75" customHeight="1">
      <c r="A496" s="68"/>
      <c r="B496" s="68"/>
      <c r="C496" s="68"/>
      <c r="D496" s="68"/>
      <c r="E496" s="68"/>
      <c r="F496" s="68"/>
      <c r="G496" s="68"/>
      <c r="H496" s="68"/>
      <c r="I496" s="68"/>
      <c r="J496" s="68"/>
      <c r="K496" s="68"/>
      <c r="L496" s="68"/>
      <c r="M496" s="68"/>
      <c r="N496" s="68"/>
      <c r="O496" s="68"/>
      <c r="P496" s="68"/>
      <c r="Q496" s="125"/>
      <c r="R496" s="68"/>
    </row>
    <row r="497" spans="1:18" ht="33.75" customHeight="1">
      <c r="A497" s="68"/>
      <c r="B497" s="68"/>
      <c r="C497" s="68"/>
      <c r="D497" s="68"/>
      <c r="E497" s="68"/>
      <c r="F497" s="68"/>
      <c r="G497" s="68"/>
      <c r="H497" s="68"/>
      <c r="I497" s="68"/>
      <c r="J497" s="68"/>
      <c r="K497" s="68"/>
      <c r="L497" s="68"/>
      <c r="M497" s="68"/>
      <c r="N497" s="68"/>
      <c r="O497" s="68"/>
      <c r="P497" s="68"/>
      <c r="Q497" s="125"/>
      <c r="R497" s="68"/>
    </row>
    <row r="498" spans="1:18" ht="33.75" customHeight="1">
      <c r="A498" s="68"/>
      <c r="B498" s="68"/>
      <c r="C498" s="68"/>
      <c r="D498" s="68"/>
      <c r="E498" s="68"/>
      <c r="F498" s="68"/>
      <c r="G498" s="68"/>
      <c r="H498" s="68"/>
      <c r="I498" s="68"/>
      <c r="J498" s="68"/>
      <c r="K498" s="68"/>
      <c r="L498" s="68"/>
      <c r="M498" s="68"/>
      <c r="N498" s="68"/>
      <c r="O498" s="68"/>
      <c r="P498" s="68"/>
      <c r="Q498" s="125"/>
      <c r="R498" s="68"/>
    </row>
    <row r="499" spans="1:18" ht="33.75" customHeight="1">
      <c r="A499" s="68"/>
      <c r="B499" s="68"/>
      <c r="C499" s="68"/>
      <c r="D499" s="68"/>
      <c r="E499" s="68"/>
      <c r="F499" s="68"/>
      <c r="G499" s="68"/>
      <c r="H499" s="68"/>
      <c r="I499" s="68"/>
      <c r="J499" s="68"/>
      <c r="K499" s="68"/>
      <c r="L499" s="68"/>
      <c r="M499" s="68"/>
      <c r="N499" s="68"/>
      <c r="O499" s="68"/>
      <c r="P499" s="68"/>
      <c r="Q499" s="125"/>
      <c r="R499" s="68"/>
    </row>
    <row r="500" spans="1:18" ht="33.75" customHeight="1">
      <c r="A500" s="68"/>
      <c r="B500" s="68"/>
      <c r="C500" s="68"/>
      <c r="D500" s="68"/>
      <c r="E500" s="68"/>
      <c r="F500" s="68"/>
      <c r="G500" s="68"/>
      <c r="H500" s="68"/>
      <c r="I500" s="68"/>
      <c r="J500" s="68"/>
      <c r="K500" s="68"/>
      <c r="L500" s="68"/>
      <c r="M500" s="68"/>
      <c r="N500" s="68"/>
      <c r="O500" s="68"/>
      <c r="P500" s="68"/>
      <c r="Q500" s="125"/>
      <c r="R500" s="68"/>
    </row>
    <row r="501" spans="1:18" ht="33.75" customHeight="1">
      <c r="A501" s="68"/>
      <c r="B501" s="68"/>
      <c r="C501" s="68"/>
      <c r="D501" s="68"/>
      <c r="E501" s="68"/>
      <c r="F501" s="68"/>
      <c r="G501" s="68"/>
      <c r="H501" s="68"/>
      <c r="I501" s="68"/>
      <c r="J501" s="68"/>
      <c r="K501" s="68"/>
      <c r="L501" s="68"/>
      <c r="M501" s="68"/>
      <c r="N501" s="68"/>
      <c r="O501" s="68"/>
      <c r="P501" s="68"/>
      <c r="Q501" s="125"/>
      <c r="R501" s="68"/>
    </row>
    <row r="502" spans="1:18" ht="33.75" customHeight="1">
      <c r="A502" s="68"/>
      <c r="B502" s="68"/>
      <c r="C502" s="68"/>
      <c r="D502" s="68"/>
      <c r="E502" s="68"/>
      <c r="F502" s="68"/>
      <c r="G502" s="68"/>
      <c r="H502" s="68"/>
      <c r="I502" s="68"/>
      <c r="J502" s="68"/>
      <c r="K502" s="68"/>
      <c r="L502" s="68"/>
      <c r="M502" s="68"/>
      <c r="N502" s="68"/>
      <c r="O502" s="68"/>
      <c r="P502" s="68"/>
      <c r="Q502" s="125"/>
      <c r="R502" s="68"/>
    </row>
    <row r="503" spans="1:18" ht="33.75" customHeight="1">
      <c r="A503" s="68"/>
      <c r="B503" s="68"/>
      <c r="C503" s="68"/>
      <c r="D503" s="68"/>
      <c r="E503" s="68"/>
      <c r="F503" s="68"/>
      <c r="G503" s="68"/>
      <c r="H503" s="68"/>
      <c r="I503" s="68"/>
      <c r="J503" s="68"/>
      <c r="K503" s="68"/>
      <c r="L503" s="68"/>
      <c r="M503" s="68"/>
      <c r="N503" s="68"/>
      <c r="O503" s="68"/>
      <c r="P503" s="68"/>
      <c r="Q503" s="125"/>
      <c r="R503" s="68"/>
    </row>
    <row r="504" spans="1:18" ht="33.75" customHeight="1">
      <c r="A504" s="68"/>
      <c r="B504" s="68"/>
      <c r="C504" s="68"/>
      <c r="D504" s="68"/>
      <c r="E504" s="68"/>
      <c r="F504" s="68"/>
      <c r="G504" s="68"/>
      <c r="H504" s="68"/>
      <c r="I504" s="68"/>
      <c r="J504" s="68"/>
      <c r="K504" s="68"/>
      <c r="L504" s="68"/>
      <c r="M504" s="68"/>
      <c r="N504" s="68"/>
      <c r="O504" s="68"/>
      <c r="P504" s="68"/>
      <c r="Q504" s="125"/>
      <c r="R504" s="68"/>
    </row>
    <row r="505" spans="1:18" ht="33.75" customHeight="1">
      <c r="A505" s="68"/>
      <c r="B505" s="68"/>
      <c r="C505" s="68"/>
      <c r="D505" s="68"/>
      <c r="E505" s="68"/>
      <c r="F505" s="68"/>
      <c r="G505" s="68"/>
      <c r="H505" s="68"/>
      <c r="I505" s="68"/>
      <c r="J505" s="68"/>
      <c r="K505" s="68"/>
      <c r="L505" s="68"/>
      <c r="M505" s="68"/>
      <c r="N505" s="68"/>
      <c r="O505" s="68"/>
      <c r="P505" s="68"/>
      <c r="Q505" s="125"/>
      <c r="R505" s="68"/>
    </row>
    <row r="506" spans="1:18" ht="33.75" customHeight="1">
      <c r="A506" s="68"/>
      <c r="B506" s="68"/>
      <c r="C506" s="68"/>
      <c r="D506" s="68"/>
      <c r="E506" s="68"/>
      <c r="F506" s="68"/>
      <c r="G506" s="68"/>
      <c r="H506" s="68"/>
      <c r="I506" s="68"/>
      <c r="J506" s="68"/>
      <c r="K506" s="68"/>
      <c r="L506" s="68"/>
      <c r="M506" s="68"/>
      <c r="N506" s="68"/>
      <c r="O506" s="68"/>
      <c r="P506" s="68"/>
      <c r="Q506" s="125"/>
      <c r="R506" s="68"/>
    </row>
    <row r="507" spans="1:18" ht="33.75" customHeight="1">
      <c r="A507" s="68"/>
      <c r="B507" s="68"/>
      <c r="C507" s="68"/>
      <c r="D507" s="68"/>
      <c r="E507" s="68"/>
      <c r="F507" s="68"/>
      <c r="G507" s="68"/>
      <c r="H507" s="68"/>
      <c r="I507" s="68"/>
      <c r="J507" s="68"/>
      <c r="K507" s="68"/>
      <c r="L507" s="68"/>
      <c r="M507" s="68"/>
      <c r="N507" s="68"/>
      <c r="O507" s="68"/>
      <c r="P507" s="68"/>
      <c r="Q507" s="125"/>
      <c r="R507" s="68"/>
    </row>
    <row r="508" spans="1:18" ht="33.75" customHeight="1">
      <c r="A508" s="68"/>
      <c r="B508" s="68"/>
      <c r="C508" s="68"/>
      <c r="D508" s="68"/>
      <c r="E508" s="68"/>
      <c r="F508" s="68"/>
      <c r="G508" s="68"/>
      <c r="H508" s="68"/>
      <c r="I508" s="68"/>
      <c r="J508" s="68"/>
      <c r="K508" s="68"/>
      <c r="L508" s="68"/>
      <c r="M508" s="68"/>
      <c r="N508" s="68"/>
      <c r="O508" s="68"/>
      <c r="P508" s="68"/>
      <c r="Q508" s="125"/>
      <c r="R508" s="68"/>
    </row>
    <row r="509" spans="1:18" ht="33.75" customHeight="1">
      <c r="A509" s="68"/>
      <c r="B509" s="68"/>
      <c r="C509" s="68"/>
      <c r="D509" s="68"/>
      <c r="E509" s="68"/>
      <c r="F509" s="68"/>
      <c r="G509" s="68"/>
      <c r="H509" s="68"/>
      <c r="I509" s="68"/>
      <c r="J509" s="68"/>
      <c r="K509" s="68"/>
      <c r="L509" s="68"/>
      <c r="M509" s="68"/>
      <c r="N509" s="68"/>
      <c r="O509" s="68"/>
      <c r="P509" s="68"/>
      <c r="Q509" s="125"/>
      <c r="R509" s="68"/>
    </row>
    <row r="510" spans="1:18" ht="33.75" customHeight="1">
      <c r="A510" s="68"/>
      <c r="B510" s="68"/>
      <c r="C510" s="68"/>
      <c r="D510" s="68"/>
      <c r="E510" s="68"/>
      <c r="F510" s="68"/>
      <c r="G510" s="68"/>
      <c r="H510" s="68"/>
      <c r="I510" s="68"/>
      <c r="J510" s="68"/>
      <c r="K510" s="68"/>
      <c r="L510" s="68"/>
      <c r="M510" s="68"/>
      <c r="N510" s="68"/>
      <c r="O510" s="68"/>
      <c r="P510" s="68"/>
      <c r="Q510" s="125"/>
      <c r="R510" s="68"/>
    </row>
    <row r="511" spans="1:18" ht="33.75" customHeight="1">
      <c r="A511" s="68"/>
      <c r="B511" s="68"/>
      <c r="C511" s="68"/>
      <c r="D511" s="68"/>
      <c r="E511" s="68"/>
      <c r="F511" s="68"/>
      <c r="G511" s="68"/>
      <c r="H511" s="68"/>
      <c r="I511" s="68"/>
      <c r="J511" s="68"/>
      <c r="K511" s="68"/>
      <c r="L511" s="68"/>
      <c r="M511" s="68"/>
      <c r="N511" s="68"/>
      <c r="O511" s="68"/>
      <c r="P511" s="68"/>
      <c r="Q511" s="125"/>
      <c r="R511" s="68"/>
    </row>
    <row r="512" spans="1:18" ht="33.75" customHeight="1">
      <c r="A512" s="68"/>
      <c r="B512" s="68"/>
      <c r="C512" s="68"/>
      <c r="D512" s="68"/>
      <c r="E512" s="68"/>
      <c r="F512" s="68"/>
      <c r="G512" s="68"/>
      <c r="H512" s="68"/>
      <c r="I512" s="68"/>
      <c r="J512" s="68"/>
      <c r="K512" s="68"/>
      <c r="L512" s="68"/>
      <c r="M512" s="68"/>
      <c r="N512" s="68"/>
      <c r="O512" s="68"/>
      <c r="P512" s="68"/>
      <c r="Q512" s="125"/>
      <c r="R512" s="68"/>
    </row>
    <row r="513" spans="1:18" ht="33.75" customHeight="1">
      <c r="A513" s="68"/>
      <c r="B513" s="68"/>
      <c r="C513" s="68"/>
      <c r="D513" s="68"/>
      <c r="E513" s="68"/>
      <c r="F513" s="68"/>
      <c r="G513" s="68"/>
      <c r="H513" s="68"/>
      <c r="I513" s="68"/>
      <c r="J513" s="68"/>
      <c r="K513" s="68"/>
      <c r="L513" s="68"/>
      <c r="M513" s="68"/>
      <c r="N513" s="68"/>
      <c r="O513" s="68"/>
      <c r="P513" s="68"/>
      <c r="Q513" s="125"/>
      <c r="R513" s="68"/>
    </row>
    <row r="514" spans="1:18" ht="33.75" customHeight="1">
      <c r="A514" s="68"/>
      <c r="B514" s="68"/>
      <c r="C514" s="68"/>
      <c r="D514" s="68"/>
      <c r="E514" s="68"/>
      <c r="F514" s="68"/>
      <c r="G514" s="68"/>
      <c r="H514" s="68"/>
      <c r="I514" s="68"/>
      <c r="J514" s="68"/>
      <c r="K514" s="68"/>
      <c r="L514" s="68"/>
      <c r="M514" s="68"/>
      <c r="N514" s="68"/>
      <c r="O514" s="68"/>
      <c r="P514" s="68"/>
      <c r="Q514" s="125"/>
      <c r="R514" s="68"/>
    </row>
    <row r="515" spans="1:18" ht="33.75" customHeight="1">
      <c r="A515" s="68"/>
      <c r="B515" s="68"/>
      <c r="C515" s="68"/>
      <c r="D515" s="68"/>
      <c r="E515" s="68"/>
      <c r="F515" s="68"/>
      <c r="G515" s="68"/>
      <c r="H515" s="68"/>
      <c r="I515" s="68"/>
      <c r="J515" s="68"/>
      <c r="K515" s="68"/>
      <c r="L515" s="68"/>
      <c r="M515" s="68"/>
      <c r="N515" s="68"/>
      <c r="O515" s="68"/>
      <c r="P515" s="68"/>
      <c r="Q515" s="125"/>
      <c r="R515" s="68"/>
    </row>
    <row r="516" spans="1:18" ht="33.75" customHeight="1">
      <c r="A516" s="68"/>
      <c r="B516" s="68"/>
      <c r="C516" s="68"/>
      <c r="D516" s="68"/>
      <c r="E516" s="68"/>
      <c r="F516" s="68"/>
      <c r="G516" s="68"/>
      <c r="H516" s="68"/>
      <c r="I516" s="68"/>
      <c r="J516" s="68"/>
      <c r="K516" s="68"/>
      <c r="L516" s="68"/>
      <c r="M516" s="68"/>
      <c r="N516" s="68"/>
      <c r="O516" s="68"/>
      <c r="P516" s="68"/>
      <c r="Q516" s="125"/>
      <c r="R516" s="68"/>
    </row>
    <row r="517" spans="1:18" ht="33.75" customHeight="1">
      <c r="A517" s="68"/>
      <c r="B517" s="68"/>
      <c r="C517" s="68"/>
      <c r="D517" s="68"/>
      <c r="E517" s="68"/>
      <c r="F517" s="68"/>
      <c r="G517" s="68"/>
      <c r="H517" s="68"/>
      <c r="I517" s="68"/>
      <c r="J517" s="68"/>
      <c r="K517" s="68"/>
      <c r="L517" s="68"/>
      <c r="M517" s="68"/>
      <c r="N517" s="68"/>
      <c r="O517" s="68"/>
      <c r="P517" s="68"/>
      <c r="Q517" s="125"/>
      <c r="R517" s="68"/>
    </row>
    <row r="518" spans="1:18" ht="33.75" customHeight="1">
      <c r="A518" s="68"/>
      <c r="B518" s="68"/>
      <c r="C518" s="68"/>
      <c r="D518" s="68"/>
      <c r="E518" s="68"/>
      <c r="F518" s="68"/>
      <c r="G518" s="68"/>
      <c r="H518" s="68"/>
      <c r="I518" s="68"/>
      <c r="J518" s="68"/>
      <c r="K518" s="68"/>
      <c r="L518" s="68"/>
      <c r="M518" s="68"/>
      <c r="N518" s="68"/>
      <c r="O518" s="68"/>
      <c r="P518" s="68"/>
      <c r="Q518" s="125"/>
      <c r="R518" s="68"/>
    </row>
    <row r="519" spans="1:18" ht="33.75" customHeight="1">
      <c r="A519" s="68"/>
      <c r="B519" s="68"/>
      <c r="C519" s="68"/>
      <c r="D519" s="68"/>
      <c r="E519" s="68"/>
      <c r="F519" s="68"/>
      <c r="G519" s="68"/>
      <c r="H519" s="68"/>
      <c r="I519" s="68"/>
      <c r="J519" s="68"/>
      <c r="K519" s="68"/>
      <c r="L519" s="68"/>
      <c r="M519" s="68"/>
      <c r="N519" s="68"/>
      <c r="O519" s="68"/>
      <c r="P519" s="68"/>
      <c r="Q519" s="125"/>
      <c r="R519" s="68"/>
    </row>
    <row r="520" spans="1:18" ht="33.75" customHeight="1">
      <c r="A520" s="68"/>
      <c r="B520" s="68"/>
      <c r="C520" s="68"/>
      <c r="D520" s="68"/>
      <c r="E520" s="68"/>
      <c r="F520" s="68"/>
      <c r="G520" s="68"/>
      <c r="H520" s="68"/>
      <c r="I520" s="68"/>
      <c r="J520" s="68"/>
      <c r="K520" s="68"/>
      <c r="L520" s="68"/>
      <c r="M520" s="68"/>
      <c r="N520" s="68"/>
      <c r="O520" s="68"/>
      <c r="P520" s="68"/>
      <c r="Q520" s="125"/>
      <c r="R520" s="68"/>
    </row>
    <row r="521" spans="1:18" ht="33.75" customHeight="1">
      <c r="A521" s="68"/>
      <c r="B521" s="68"/>
      <c r="C521" s="68"/>
      <c r="D521" s="68"/>
      <c r="E521" s="68"/>
      <c r="F521" s="68"/>
      <c r="G521" s="68"/>
      <c r="H521" s="68"/>
      <c r="I521" s="68"/>
      <c r="J521" s="68"/>
      <c r="K521" s="68"/>
      <c r="L521" s="68"/>
      <c r="M521" s="68"/>
      <c r="N521" s="68"/>
      <c r="O521" s="68"/>
      <c r="P521" s="68"/>
      <c r="Q521" s="125"/>
      <c r="R521" s="68"/>
    </row>
    <row r="522" spans="1:18" ht="33.75" customHeight="1">
      <c r="A522" s="68"/>
      <c r="B522" s="68"/>
      <c r="C522" s="68"/>
      <c r="D522" s="68"/>
      <c r="E522" s="68"/>
      <c r="F522" s="68"/>
      <c r="G522" s="68"/>
      <c r="H522" s="68"/>
      <c r="I522" s="68"/>
      <c r="J522" s="68"/>
      <c r="K522" s="68"/>
      <c r="L522" s="68"/>
      <c r="M522" s="68"/>
      <c r="N522" s="68"/>
      <c r="O522" s="68"/>
      <c r="P522" s="68"/>
      <c r="Q522" s="125"/>
      <c r="R522" s="68"/>
    </row>
    <row r="523" spans="1:18" ht="33.75" customHeight="1">
      <c r="A523" s="68"/>
      <c r="B523" s="68"/>
      <c r="C523" s="68"/>
      <c r="D523" s="68"/>
      <c r="E523" s="68"/>
      <c r="F523" s="68"/>
      <c r="G523" s="68"/>
      <c r="H523" s="68"/>
      <c r="I523" s="68"/>
      <c r="J523" s="68"/>
      <c r="K523" s="68"/>
      <c r="L523" s="68"/>
      <c r="M523" s="68"/>
      <c r="N523" s="68"/>
      <c r="O523" s="68"/>
      <c r="P523" s="68"/>
      <c r="Q523" s="125"/>
      <c r="R523" s="68"/>
    </row>
    <row r="524" spans="1:18" ht="33.75" customHeight="1">
      <c r="A524" s="68"/>
      <c r="B524" s="68"/>
      <c r="C524" s="68"/>
      <c r="D524" s="68"/>
      <c r="E524" s="68"/>
      <c r="F524" s="68"/>
      <c r="G524" s="68"/>
      <c r="H524" s="68"/>
      <c r="I524" s="68"/>
      <c r="J524" s="68"/>
      <c r="K524" s="68"/>
      <c r="L524" s="68"/>
      <c r="M524" s="68"/>
      <c r="N524" s="68"/>
      <c r="O524" s="68"/>
      <c r="P524" s="68"/>
      <c r="Q524" s="125"/>
      <c r="R524" s="68"/>
    </row>
    <row r="525" spans="1:18" ht="33.75" customHeight="1">
      <c r="A525" s="68"/>
      <c r="B525" s="68"/>
      <c r="C525" s="68"/>
      <c r="D525" s="68"/>
      <c r="E525" s="68"/>
      <c r="F525" s="68"/>
      <c r="G525" s="68"/>
      <c r="H525" s="68"/>
      <c r="I525" s="68"/>
      <c r="J525" s="68"/>
      <c r="K525" s="68"/>
      <c r="L525" s="68"/>
      <c r="M525" s="68"/>
      <c r="N525" s="68"/>
      <c r="O525" s="68"/>
      <c r="P525" s="68"/>
      <c r="Q525" s="125"/>
      <c r="R525" s="68"/>
    </row>
    <row r="526" spans="1:18" ht="33.75" customHeight="1">
      <c r="A526" s="68"/>
      <c r="B526" s="68"/>
      <c r="C526" s="68"/>
      <c r="D526" s="68"/>
      <c r="E526" s="68"/>
      <c r="F526" s="68"/>
      <c r="G526" s="68"/>
      <c r="H526" s="68"/>
      <c r="I526" s="68"/>
      <c r="J526" s="68"/>
      <c r="K526" s="68"/>
      <c r="L526" s="68"/>
      <c r="M526" s="68"/>
      <c r="N526" s="68"/>
      <c r="O526" s="68"/>
      <c r="P526" s="68"/>
      <c r="Q526" s="125"/>
      <c r="R526" s="68"/>
    </row>
    <row r="527" spans="1:18" ht="33.75" customHeight="1">
      <c r="A527" s="68"/>
      <c r="B527" s="68"/>
      <c r="C527" s="68"/>
      <c r="D527" s="68"/>
      <c r="E527" s="68"/>
      <c r="F527" s="68"/>
      <c r="G527" s="68"/>
      <c r="H527" s="68"/>
      <c r="I527" s="68"/>
      <c r="J527" s="68"/>
      <c r="K527" s="68"/>
      <c r="L527" s="68"/>
      <c r="M527" s="68"/>
      <c r="N527" s="68"/>
      <c r="O527" s="68"/>
      <c r="P527" s="68"/>
      <c r="Q527" s="125"/>
      <c r="R527" s="68"/>
    </row>
    <row r="528" spans="1:18" ht="33.75" customHeight="1">
      <c r="A528" s="68"/>
      <c r="B528" s="68"/>
      <c r="C528" s="68"/>
      <c r="D528" s="68"/>
      <c r="E528" s="68"/>
      <c r="F528" s="68"/>
      <c r="G528" s="68"/>
      <c r="H528" s="68"/>
      <c r="I528" s="68"/>
      <c r="J528" s="68"/>
      <c r="K528" s="68"/>
      <c r="L528" s="68"/>
      <c r="M528" s="68"/>
      <c r="N528" s="68"/>
      <c r="O528" s="68"/>
      <c r="P528" s="68"/>
      <c r="Q528" s="125"/>
      <c r="R528" s="68"/>
    </row>
    <row r="529" spans="1:18" ht="33.75" customHeight="1">
      <c r="A529" s="68"/>
      <c r="B529" s="68"/>
      <c r="C529" s="68"/>
      <c r="D529" s="68"/>
      <c r="E529" s="68"/>
      <c r="F529" s="68"/>
      <c r="G529" s="68"/>
      <c r="H529" s="68"/>
      <c r="I529" s="68"/>
      <c r="J529" s="68"/>
      <c r="K529" s="68"/>
      <c r="L529" s="68"/>
      <c r="M529" s="68"/>
      <c r="N529" s="68"/>
      <c r="O529" s="68"/>
      <c r="P529" s="68"/>
      <c r="Q529" s="125"/>
      <c r="R529" s="68"/>
    </row>
    <row r="530" spans="1:18" ht="33.75" customHeight="1">
      <c r="A530" s="68"/>
      <c r="B530" s="68"/>
      <c r="C530" s="68"/>
      <c r="D530" s="68"/>
      <c r="E530" s="68"/>
      <c r="F530" s="68"/>
      <c r="G530" s="68"/>
      <c r="H530" s="68"/>
      <c r="I530" s="68"/>
      <c r="J530" s="68"/>
      <c r="K530" s="68"/>
      <c r="L530" s="68"/>
      <c r="M530" s="68"/>
      <c r="N530" s="68"/>
      <c r="O530" s="68"/>
      <c r="P530" s="68"/>
      <c r="Q530" s="125"/>
      <c r="R530" s="68"/>
    </row>
    <row r="531" spans="1:18" ht="33.75" customHeight="1">
      <c r="A531" s="68"/>
      <c r="B531" s="68"/>
      <c r="C531" s="68"/>
      <c r="D531" s="68"/>
      <c r="E531" s="68"/>
      <c r="F531" s="68"/>
      <c r="G531" s="68"/>
      <c r="H531" s="68"/>
      <c r="I531" s="68"/>
      <c r="J531" s="68"/>
      <c r="K531" s="68"/>
      <c r="L531" s="68"/>
      <c r="M531" s="68"/>
      <c r="N531" s="68"/>
      <c r="O531" s="68"/>
      <c r="P531" s="68"/>
      <c r="Q531" s="125"/>
      <c r="R531" s="68"/>
    </row>
    <row r="532" spans="1:18" ht="33.75" customHeight="1">
      <c r="A532" s="68"/>
      <c r="B532" s="68"/>
      <c r="C532" s="68"/>
      <c r="D532" s="68"/>
      <c r="E532" s="68"/>
      <c r="F532" s="68"/>
      <c r="G532" s="68"/>
      <c r="H532" s="68"/>
      <c r="I532" s="68"/>
      <c r="J532" s="68"/>
      <c r="K532" s="68"/>
      <c r="L532" s="68"/>
      <c r="M532" s="68"/>
      <c r="N532" s="68"/>
      <c r="O532" s="68"/>
      <c r="P532" s="68"/>
      <c r="Q532" s="125"/>
      <c r="R532" s="68"/>
    </row>
    <row r="533" spans="1:18" ht="33.75" customHeight="1">
      <c r="A533" s="68"/>
      <c r="B533" s="68"/>
      <c r="C533" s="68"/>
      <c r="D533" s="68"/>
      <c r="E533" s="68"/>
      <c r="F533" s="68"/>
      <c r="G533" s="68"/>
      <c r="H533" s="68"/>
      <c r="I533" s="68"/>
      <c r="J533" s="68"/>
      <c r="K533" s="68"/>
      <c r="L533" s="68"/>
      <c r="M533" s="68"/>
      <c r="N533" s="68"/>
      <c r="O533" s="68"/>
      <c r="P533" s="68"/>
      <c r="Q533" s="125"/>
      <c r="R533" s="68"/>
    </row>
    <row r="534" spans="1:18" ht="33.75" customHeight="1">
      <c r="A534" s="68"/>
      <c r="B534" s="68"/>
      <c r="C534" s="68"/>
      <c r="D534" s="68"/>
      <c r="E534" s="68"/>
      <c r="F534" s="68"/>
      <c r="G534" s="68"/>
      <c r="H534" s="68"/>
      <c r="I534" s="68"/>
      <c r="J534" s="68"/>
      <c r="K534" s="68"/>
      <c r="L534" s="68"/>
      <c r="M534" s="68"/>
      <c r="N534" s="68"/>
      <c r="O534" s="68"/>
      <c r="P534" s="68"/>
      <c r="Q534" s="125"/>
      <c r="R534" s="68"/>
    </row>
    <row r="535" spans="1:18" ht="33.75" customHeight="1">
      <c r="A535" s="68"/>
      <c r="B535" s="68"/>
      <c r="C535" s="68"/>
      <c r="D535" s="68"/>
      <c r="E535" s="68"/>
      <c r="F535" s="68"/>
      <c r="G535" s="68"/>
      <c r="H535" s="68"/>
      <c r="I535" s="68"/>
      <c r="J535" s="68"/>
      <c r="K535" s="68"/>
      <c r="L535" s="68"/>
      <c r="M535" s="68"/>
      <c r="N535" s="68"/>
      <c r="O535" s="68"/>
      <c r="P535" s="68"/>
      <c r="Q535" s="125"/>
      <c r="R535" s="68"/>
    </row>
    <row r="536" spans="1:18" ht="33.75" customHeight="1">
      <c r="A536" s="68"/>
      <c r="B536" s="68"/>
      <c r="C536" s="68"/>
      <c r="D536" s="68"/>
      <c r="E536" s="68"/>
      <c r="F536" s="68"/>
      <c r="G536" s="68"/>
      <c r="H536" s="68"/>
      <c r="I536" s="68"/>
      <c r="J536" s="68"/>
      <c r="K536" s="68"/>
      <c r="L536" s="68"/>
      <c r="M536" s="68"/>
      <c r="N536" s="68"/>
      <c r="O536" s="68"/>
      <c r="P536" s="68"/>
      <c r="Q536" s="125"/>
      <c r="R536" s="68"/>
    </row>
    <row r="537" spans="1:18" ht="33.75" customHeight="1">
      <c r="A537" s="68"/>
      <c r="B537" s="68"/>
      <c r="C537" s="68"/>
      <c r="D537" s="68"/>
      <c r="E537" s="68"/>
      <c r="F537" s="68"/>
      <c r="G537" s="68"/>
      <c r="H537" s="68"/>
      <c r="I537" s="68"/>
      <c r="J537" s="68"/>
      <c r="K537" s="68"/>
      <c r="L537" s="68"/>
      <c r="M537" s="68"/>
      <c r="N537" s="68"/>
      <c r="O537" s="68"/>
      <c r="P537" s="68"/>
      <c r="Q537" s="125"/>
      <c r="R537" s="68"/>
    </row>
    <row r="538" spans="1:18" ht="33.75" customHeight="1">
      <c r="A538" s="68"/>
      <c r="B538" s="68"/>
      <c r="C538" s="68"/>
      <c r="D538" s="68"/>
      <c r="E538" s="68"/>
      <c r="F538" s="68"/>
      <c r="G538" s="68"/>
      <c r="H538" s="68"/>
      <c r="I538" s="68"/>
      <c r="J538" s="68"/>
      <c r="K538" s="68"/>
      <c r="L538" s="68"/>
      <c r="M538" s="68"/>
      <c r="N538" s="68"/>
      <c r="O538" s="68"/>
      <c r="P538" s="68"/>
      <c r="Q538" s="125"/>
      <c r="R538" s="68"/>
    </row>
    <row r="539" spans="1:18" ht="33.75" customHeight="1">
      <c r="A539" s="68"/>
      <c r="B539" s="68"/>
      <c r="C539" s="68"/>
      <c r="D539" s="68"/>
      <c r="E539" s="68"/>
      <c r="F539" s="68"/>
      <c r="G539" s="68"/>
      <c r="H539" s="68"/>
      <c r="I539" s="68"/>
      <c r="J539" s="68"/>
      <c r="K539" s="68"/>
      <c r="L539" s="68"/>
      <c r="M539" s="68"/>
      <c r="N539" s="68"/>
      <c r="O539" s="68"/>
      <c r="P539" s="68"/>
      <c r="Q539" s="125"/>
      <c r="R539" s="68"/>
    </row>
    <row r="540" spans="1:18" ht="33.75" customHeight="1">
      <c r="A540" s="68"/>
      <c r="B540" s="68"/>
      <c r="C540" s="68"/>
      <c r="D540" s="68"/>
      <c r="E540" s="68"/>
      <c r="F540" s="68"/>
      <c r="G540" s="68"/>
      <c r="H540" s="68"/>
      <c r="I540" s="68"/>
      <c r="J540" s="68"/>
      <c r="K540" s="68"/>
      <c r="L540" s="68"/>
      <c r="M540" s="68"/>
      <c r="N540" s="68"/>
      <c r="O540" s="68"/>
      <c r="P540" s="68"/>
      <c r="Q540" s="125"/>
      <c r="R540" s="68"/>
    </row>
    <row r="541" spans="1:18" ht="33.75" customHeight="1">
      <c r="A541" s="68"/>
      <c r="B541" s="68"/>
      <c r="C541" s="68"/>
      <c r="D541" s="68"/>
      <c r="E541" s="68"/>
      <c r="F541" s="68"/>
      <c r="G541" s="68"/>
      <c r="H541" s="68"/>
      <c r="I541" s="68"/>
      <c r="J541" s="68"/>
      <c r="K541" s="68"/>
      <c r="L541" s="68"/>
      <c r="M541" s="68"/>
      <c r="N541" s="68"/>
      <c r="O541" s="68"/>
      <c r="P541" s="68"/>
      <c r="Q541" s="125"/>
      <c r="R541" s="68"/>
    </row>
    <row r="542" spans="1:18" ht="33.75" customHeight="1">
      <c r="A542" s="68"/>
      <c r="B542" s="68"/>
      <c r="C542" s="68"/>
      <c r="D542" s="68"/>
      <c r="E542" s="68"/>
      <c r="F542" s="68"/>
      <c r="G542" s="68"/>
      <c r="H542" s="68"/>
      <c r="I542" s="68"/>
      <c r="J542" s="68"/>
      <c r="K542" s="68"/>
      <c r="L542" s="68"/>
      <c r="M542" s="68"/>
      <c r="N542" s="68"/>
      <c r="O542" s="68"/>
      <c r="P542" s="68"/>
      <c r="Q542" s="125"/>
      <c r="R542" s="68"/>
    </row>
    <row r="543" spans="1:18" ht="33.75" customHeight="1">
      <c r="A543" s="68"/>
      <c r="B543" s="68"/>
      <c r="C543" s="68"/>
      <c r="D543" s="68"/>
      <c r="E543" s="68"/>
      <c r="F543" s="68"/>
      <c r="G543" s="68"/>
      <c r="H543" s="68"/>
      <c r="I543" s="68"/>
      <c r="J543" s="68"/>
      <c r="K543" s="68"/>
      <c r="L543" s="68"/>
      <c r="M543" s="68"/>
      <c r="N543" s="68"/>
      <c r="O543" s="68"/>
      <c r="P543" s="68"/>
      <c r="Q543" s="125"/>
      <c r="R543" s="68"/>
    </row>
    <row r="544" spans="1:18" ht="33.75" customHeight="1">
      <c r="A544" s="68"/>
      <c r="B544" s="68"/>
      <c r="C544" s="68"/>
      <c r="D544" s="68"/>
      <c r="E544" s="68"/>
      <c r="F544" s="68"/>
      <c r="G544" s="68"/>
      <c r="H544" s="68"/>
      <c r="I544" s="68"/>
      <c r="J544" s="68"/>
      <c r="K544" s="68"/>
      <c r="L544" s="68"/>
      <c r="M544" s="68"/>
      <c r="N544" s="68"/>
      <c r="O544" s="68"/>
      <c r="P544" s="68"/>
      <c r="Q544" s="125"/>
      <c r="R544" s="68"/>
    </row>
    <row r="545" spans="1:18" ht="33.75" customHeight="1">
      <c r="A545" s="68"/>
      <c r="B545" s="68"/>
      <c r="C545" s="68"/>
      <c r="D545" s="68"/>
      <c r="E545" s="68"/>
      <c r="F545" s="68"/>
      <c r="G545" s="68"/>
      <c r="H545" s="68"/>
      <c r="I545" s="68"/>
      <c r="J545" s="68"/>
      <c r="K545" s="68"/>
      <c r="L545" s="68"/>
      <c r="M545" s="68"/>
      <c r="N545" s="68"/>
      <c r="O545" s="68"/>
      <c r="P545" s="68"/>
      <c r="Q545" s="125"/>
      <c r="R545" s="68"/>
    </row>
    <row r="546" spans="1:18" ht="33.75" customHeight="1">
      <c r="A546" s="68"/>
      <c r="B546" s="68"/>
      <c r="C546" s="68"/>
      <c r="D546" s="68"/>
      <c r="E546" s="68"/>
      <c r="F546" s="68"/>
      <c r="G546" s="68"/>
      <c r="H546" s="68"/>
      <c r="I546" s="68"/>
      <c r="J546" s="68"/>
      <c r="K546" s="68"/>
      <c r="L546" s="68"/>
      <c r="M546" s="68"/>
      <c r="N546" s="68"/>
      <c r="O546" s="68"/>
      <c r="P546" s="68"/>
      <c r="Q546" s="125"/>
      <c r="R546" s="68"/>
    </row>
    <row r="547" spans="1:18" ht="33.75" customHeight="1">
      <c r="A547" s="68"/>
      <c r="B547" s="68"/>
      <c r="C547" s="68"/>
      <c r="D547" s="68"/>
      <c r="E547" s="68"/>
      <c r="F547" s="68"/>
      <c r="G547" s="68"/>
      <c r="H547" s="68"/>
      <c r="I547" s="68"/>
      <c r="J547" s="68"/>
      <c r="K547" s="68"/>
      <c r="L547" s="68"/>
      <c r="M547" s="68"/>
      <c r="N547" s="68"/>
      <c r="O547" s="68"/>
      <c r="P547" s="68"/>
      <c r="Q547" s="125"/>
      <c r="R547" s="68"/>
    </row>
    <row r="548" spans="1:18" ht="33.75" customHeight="1">
      <c r="A548" s="68"/>
      <c r="B548" s="68"/>
      <c r="C548" s="68"/>
      <c r="D548" s="68"/>
      <c r="E548" s="68"/>
      <c r="F548" s="68"/>
      <c r="G548" s="68"/>
      <c r="H548" s="68"/>
      <c r="I548" s="68"/>
      <c r="J548" s="68"/>
      <c r="K548" s="68"/>
      <c r="L548" s="68"/>
      <c r="M548" s="68"/>
      <c r="N548" s="68"/>
      <c r="O548" s="68"/>
      <c r="P548" s="68"/>
      <c r="Q548" s="125"/>
      <c r="R548" s="68"/>
    </row>
    <row r="549" spans="1:18" ht="33.75" customHeight="1">
      <c r="A549" s="68"/>
      <c r="B549" s="68"/>
      <c r="C549" s="68"/>
      <c r="D549" s="68"/>
      <c r="E549" s="68"/>
      <c r="F549" s="68"/>
      <c r="G549" s="68"/>
      <c r="H549" s="68"/>
      <c r="I549" s="68"/>
      <c r="J549" s="68"/>
      <c r="K549" s="68"/>
      <c r="L549" s="68"/>
      <c r="M549" s="68"/>
      <c r="N549" s="68"/>
      <c r="O549" s="68"/>
      <c r="P549" s="68"/>
      <c r="Q549" s="125"/>
      <c r="R549" s="68"/>
    </row>
    <row r="550" spans="1:18" ht="33.75" customHeight="1">
      <c r="A550" s="68"/>
      <c r="B550" s="68"/>
      <c r="C550" s="68"/>
      <c r="D550" s="68"/>
      <c r="E550" s="68"/>
      <c r="F550" s="68"/>
      <c r="G550" s="68"/>
      <c r="H550" s="68"/>
      <c r="I550" s="68"/>
      <c r="J550" s="68"/>
      <c r="K550" s="68"/>
      <c r="L550" s="68"/>
      <c r="M550" s="68"/>
      <c r="N550" s="68"/>
      <c r="O550" s="68"/>
      <c r="P550" s="68"/>
      <c r="Q550" s="125"/>
      <c r="R550" s="68"/>
    </row>
    <row r="551" spans="1:18" ht="33.75" customHeight="1">
      <c r="A551" s="68"/>
      <c r="B551" s="68"/>
      <c r="C551" s="68"/>
      <c r="D551" s="68"/>
      <c r="E551" s="68"/>
      <c r="F551" s="68"/>
      <c r="G551" s="68"/>
      <c r="H551" s="68"/>
      <c r="I551" s="68"/>
      <c r="J551" s="68"/>
      <c r="K551" s="68"/>
      <c r="L551" s="68"/>
      <c r="M551" s="68"/>
      <c r="N551" s="68"/>
      <c r="O551" s="68"/>
      <c r="P551" s="68"/>
      <c r="Q551" s="125"/>
      <c r="R551" s="68"/>
    </row>
    <row r="552" spans="1:18" ht="33.75" customHeight="1">
      <c r="A552" s="68"/>
      <c r="B552" s="68"/>
      <c r="C552" s="68"/>
      <c r="D552" s="68"/>
      <c r="E552" s="68"/>
      <c r="F552" s="68"/>
      <c r="G552" s="68"/>
      <c r="H552" s="68"/>
      <c r="I552" s="68"/>
      <c r="J552" s="68"/>
      <c r="K552" s="68"/>
      <c r="L552" s="68"/>
      <c r="M552" s="68"/>
      <c r="N552" s="68"/>
      <c r="O552" s="68"/>
      <c r="P552" s="68"/>
      <c r="Q552" s="125"/>
      <c r="R552" s="68"/>
    </row>
    <row r="553" spans="1:18" ht="33.75" customHeight="1">
      <c r="A553" s="68"/>
      <c r="B553" s="68"/>
      <c r="C553" s="68"/>
      <c r="D553" s="68"/>
      <c r="E553" s="68"/>
      <c r="F553" s="68"/>
      <c r="G553" s="68"/>
      <c r="H553" s="68"/>
      <c r="I553" s="68"/>
      <c r="J553" s="68"/>
      <c r="K553" s="68"/>
      <c r="L553" s="68"/>
      <c r="M553" s="68"/>
      <c r="N553" s="68"/>
      <c r="O553" s="68"/>
      <c r="P553" s="68"/>
      <c r="Q553" s="125"/>
      <c r="R553" s="68"/>
    </row>
    <row r="554" spans="1:18" ht="33.75" customHeight="1">
      <c r="A554" s="68"/>
      <c r="B554" s="68"/>
      <c r="C554" s="68"/>
      <c r="D554" s="68"/>
      <c r="E554" s="68"/>
      <c r="F554" s="68"/>
      <c r="G554" s="68"/>
      <c r="H554" s="68"/>
      <c r="I554" s="68"/>
      <c r="J554" s="68"/>
      <c r="K554" s="68"/>
      <c r="L554" s="68"/>
      <c r="M554" s="68"/>
      <c r="N554" s="68"/>
      <c r="O554" s="68"/>
      <c r="P554" s="68"/>
      <c r="Q554" s="125"/>
      <c r="R554" s="68"/>
    </row>
    <row r="555" spans="1:18" ht="33.75" customHeight="1">
      <c r="A555" s="68"/>
      <c r="B555" s="68"/>
      <c r="C555" s="68"/>
      <c r="D555" s="68"/>
      <c r="E555" s="68"/>
      <c r="F555" s="68"/>
      <c r="G555" s="68"/>
      <c r="H555" s="68"/>
      <c r="I555" s="68"/>
      <c r="J555" s="68"/>
      <c r="K555" s="68"/>
      <c r="L555" s="68"/>
      <c r="M555" s="68"/>
      <c r="N555" s="68"/>
      <c r="O555" s="68"/>
      <c r="P555" s="68"/>
      <c r="Q555" s="125"/>
      <c r="R555" s="68"/>
    </row>
    <row r="556" spans="1:18" ht="33.75" customHeight="1">
      <c r="A556" s="68"/>
      <c r="B556" s="68"/>
      <c r="C556" s="68"/>
      <c r="D556" s="68"/>
      <c r="E556" s="68"/>
      <c r="F556" s="68"/>
      <c r="G556" s="68"/>
      <c r="H556" s="68"/>
      <c r="I556" s="68"/>
      <c r="J556" s="68"/>
      <c r="K556" s="68"/>
      <c r="L556" s="68"/>
      <c r="M556" s="68"/>
      <c r="N556" s="68"/>
      <c r="O556" s="68"/>
      <c r="P556" s="68"/>
      <c r="Q556" s="125"/>
      <c r="R556" s="68"/>
    </row>
    <row r="557" spans="1:18" ht="33.75" customHeight="1">
      <c r="A557" s="68"/>
      <c r="B557" s="68"/>
      <c r="C557" s="68"/>
      <c r="D557" s="68"/>
      <c r="E557" s="68"/>
      <c r="F557" s="68"/>
      <c r="G557" s="68"/>
      <c r="H557" s="68"/>
      <c r="I557" s="68"/>
      <c r="J557" s="68"/>
      <c r="K557" s="68"/>
      <c r="L557" s="68"/>
      <c r="M557" s="68"/>
      <c r="N557" s="68"/>
      <c r="O557" s="68"/>
      <c r="P557" s="68"/>
      <c r="Q557" s="125"/>
      <c r="R557" s="68"/>
    </row>
    <row r="558" spans="1:18" ht="33.75" customHeight="1">
      <c r="A558" s="68"/>
      <c r="B558" s="68"/>
      <c r="C558" s="68"/>
      <c r="D558" s="68"/>
      <c r="E558" s="68"/>
      <c r="F558" s="68"/>
      <c r="G558" s="68"/>
      <c r="H558" s="68"/>
      <c r="I558" s="68"/>
      <c r="J558" s="68"/>
      <c r="K558" s="68"/>
      <c r="L558" s="68"/>
      <c r="M558" s="68"/>
      <c r="N558" s="68"/>
      <c r="O558" s="68"/>
      <c r="P558" s="68"/>
      <c r="Q558" s="125"/>
      <c r="R558" s="68"/>
    </row>
    <row r="559" spans="1:18" ht="33.75" customHeight="1">
      <c r="A559" s="68"/>
      <c r="B559" s="68"/>
      <c r="C559" s="68"/>
      <c r="D559" s="68"/>
      <c r="E559" s="68"/>
      <c r="F559" s="68"/>
      <c r="G559" s="68"/>
      <c r="H559" s="68"/>
      <c r="I559" s="68"/>
      <c r="J559" s="68"/>
      <c r="K559" s="68"/>
      <c r="L559" s="68"/>
      <c r="M559" s="68"/>
      <c r="N559" s="68"/>
      <c r="O559" s="68"/>
      <c r="P559" s="68"/>
      <c r="Q559" s="125"/>
      <c r="R559" s="68"/>
    </row>
    <row r="560" spans="1:18" ht="33.75" customHeight="1">
      <c r="A560" s="68"/>
      <c r="B560" s="68"/>
      <c r="C560" s="68"/>
      <c r="D560" s="68"/>
      <c r="E560" s="68"/>
      <c r="F560" s="68"/>
      <c r="G560" s="68"/>
      <c r="H560" s="68"/>
      <c r="I560" s="68"/>
      <c r="J560" s="68"/>
      <c r="K560" s="68"/>
      <c r="L560" s="68"/>
      <c r="M560" s="68"/>
      <c r="N560" s="68"/>
      <c r="O560" s="68"/>
      <c r="P560" s="68"/>
      <c r="Q560" s="125"/>
      <c r="R560" s="68"/>
    </row>
    <row r="561" spans="1:18" ht="33.75" customHeight="1">
      <c r="A561" s="68"/>
      <c r="B561" s="68"/>
      <c r="C561" s="68"/>
      <c r="D561" s="68"/>
      <c r="E561" s="68"/>
      <c r="F561" s="68"/>
      <c r="G561" s="68"/>
      <c r="H561" s="68"/>
      <c r="I561" s="68"/>
      <c r="J561" s="68"/>
      <c r="K561" s="68"/>
      <c r="L561" s="68"/>
      <c r="M561" s="68"/>
      <c r="N561" s="68"/>
      <c r="O561" s="68"/>
      <c r="P561" s="68"/>
      <c r="Q561" s="125"/>
      <c r="R561" s="68"/>
    </row>
    <row r="562" spans="1:18" ht="33.75" customHeight="1">
      <c r="A562" s="68"/>
      <c r="B562" s="68"/>
      <c r="C562" s="68"/>
      <c r="D562" s="68"/>
      <c r="E562" s="68"/>
      <c r="F562" s="68"/>
      <c r="G562" s="68"/>
      <c r="H562" s="68"/>
      <c r="I562" s="68"/>
      <c r="J562" s="68"/>
      <c r="K562" s="68"/>
      <c r="L562" s="68"/>
      <c r="M562" s="68"/>
      <c r="N562" s="68"/>
      <c r="O562" s="68"/>
      <c r="P562" s="68"/>
      <c r="Q562" s="125"/>
      <c r="R562" s="68"/>
    </row>
    <row r="563" spans="1:18" ht="33.75" customHeight="1">
      <c r="A563" s="68"/>
      <c r="B563" s="68"/>
      <c r="C563" s="68"/>
      <c r="D563" s="68"/>
      <c r="E563" s="68"/>
      <c r="F563" s="68"/>
      <c r="G563" s="68"/>
      <c r="H563" s="68"/>
      <c r="I563" s="68"/>
      <c r="J563" s="68"/>
      <c r="K563" s="68"/>
      <c r="L563" s="68"/>
      <c r="M563" s="68"/>
      <c r="N563" s="68"/>
      <c r="O563" s="68"/>
      <c r="P563" s="68"/>
      <c r="Q563" s="125"/>
      <c r="R563" s="68"/>
    </row>
    <row r="564" spans="1:18" ht="33.75" customHeight="1">
      <c r="A564" s="68"/>
      <c r="B564" s="68"/>
      <c r="C564" s="68"/>
      <c r="D564" s="68"/>
      <c r="E564" s="68"/>
      <c r="F564" s="68"/>
      <c r="G564" s="68"/>
      <c r="H564" s="68"/>
      <c r="I564" s="68"/>
      <c r="J564" s="68"/>
      <c r="K564" s="68"/>
      <c r="L564" s="68"/>
      <c r="M564" s="68"/>
      <c r="N564" s="68"/>
      <c r="O564" s="68"/>
      <c r="P564" s="68"/>
      <c r="Q564" s="125"/>
      <c r="R564" s="68"/>
    </row>
    <row r="565" spans="1:18" ht="33.75" customHeight="1">
      <c r="A565" s="68"/>
      <c r="B565" s="68"/>
      <c r="C565" s="68"/>
      <c r="D565" s="68"/>
      <c r="E565" s="68"/>
      <c r="F565" s="68"/>
      <c r="G565" s="68"/>
      <c r="H565" s="68"/>
      <c r="I565" s="68"/>
      <c r="J565" s="68"/>
      <c r="K565" s="68"/>
      <c r="L565" s="68"/>
      <c r="M565" s="68"/>
      <c r="N565" s="68"/>
      <c r="O565" s="68"/>
      <c r="P565" s="68"/>
      <c r="Q565" s="125"/>
      <c r="R565" s="68"/>
    </row>
    <row r="566" spans="1:18" ht="33.75" customHeight="1">
      <c r="A566" s="68"/>
      <c r="B566" s="68"/>
      <c r="C566" s="68"/>
      <c r="D566" s="68"/>
      <c r="E566" s="68"/>
      <c r="F566" s="68"/>
      <c r="G566" s="68"/>
      <c r="H566" s="68"/>
      <c r="I566" s="68"/>
      <c r="J566" s="68"/>
      <c r="K566" s="68"/>
      <c r="L566" s="68"/>
      <c r="M566" s="68"/>
      <c r="N566" s="68"/>
      <c r="O566" s="68"/>
      <c r="P566" s="68"/>
      <c r="Q566" s="125"/>
      <c r="R566" s="68"/>
    </row>
    <row r="567" spans="1:18" ht="33.75" customHeight="1">
      <c r="A567" s="68"/>
      <c r="B567" s="68"/>
      <c r="C567" s="68"/>
      <c r="D567" s="68"/>
      <c r="E567" s="68"/>
      <c r="F567" s="68"/>
      <c r="G567" s="68"/>
      <c r="H567" s="68"/>
      <c r="I567" s="68"/>
      <c r="J567" s="68"/>
      <c r="K567" s="68"/>
      <c r="L567" s="68"/>
      <c r="M567" s="68"/>
      <c r="N567" s="68"/>
      <c r="O567" s="68"/>
      <c r="P567" s="68"/>
      <c r="Q567" s="125"/>
      <c r="R567" s="68"/>
    </row>
    <row r="568" spans="1:18" ht="33.75" customHeight="1">
      <c r="A568" s="68"/>
      <c r="B568" s="68"/>
      <c r="C568" s="68"/>
      <c r="D568" s="68"/>
      <c r="E568" s="68"/>
      <c r="F568" s="68"/>
      <c r="G568" s="68"/>
      <c r="H568" s="68"/>
      <c r="I568" s="68"/>
      <c r="J568" s="68"/>
      <c r="K568" s="68"/>
      <c r="L568" s="68"/>
      <c r="M568" s="68"/>
      <c r="N568" s="68"/>
      <c r="O568" s="68"/>
      <c r="P568" s="68"/>
      <c r="Q568" s="125"/>
      <c r="R568" s="68"/>
    </row>
    <row r="569" spans="1:18" ht="33.75" customHeight="1">
      <c r="A569" s="68"/>
      <c r="B569" s="68"/>
      <c r="C569" s="68"/>
      <c r="D569" s="68"/>
      <c r="E569" s="68"/>
      <c r="F569" s="68"/>
      <c r="G569" s="68"/>
      <c r="H569" s="68"/>
      <c r="I569" s="68"/>
      <c r="J569" s="68"/>
      <c r="K569" s="68"/>
      <c r="L569" s="68"/>
      <c r="M569" s="68"/>
      <c r="N569" s="68"/>
      <c r="O569" s="68"/>
      <c r="P569" s="68"/>
      <c r="Q569" s="125"/>
      <c r="R569" s="68"/>
    </row>
    <row r="570" spans="1:18" ht="33.75" customHeight="1">
      <c r="A570" s="68"/>
      <c r="B570" s="68"/>
      <c r="C570" s="68"/>
      <c r="D570" s="68"/>
      <c r="E570" s="68"/>
      <c r="F570" s="68"/>
      <c r="G570" s="68"/>
      <c r="H570" s="68"/>
      <c r="I570" s="68"/>
      <c r="J570" s="68"/>
      <c r="K570" s="68"/>
      <c r="L570" s="68"/>
      <c r="M570" s="68"/>
      <c r="N570" s="68"/>
      <c r="O570" s="68"/>
      <c r="P570" s="68"/>
      <c r="Q570" s="125"/>
      <c r="R570" s="68"/>
    </row>
    <row r="571" spans="1:18" ht="33.75" customHeight="1">
      <c r="A571" s="68"/>
      <c r="B571" s="68"/>
      <c r="C571" s="68"/>
      <c r="D571" s="68"/>
      <c r="E571" s="68"/>
      <c r="F571" s="68"/>
      <c r="G571" s="68"/>
      <c r="H571" s="68"/>
      <c r="I571" s="68"/>
      <c r="J571" s="68"/>
      <c r="K571" s="68"/>
      <c r="L571" s="68"/>
      <c r="M571" s="68"/>
      <c r="N571" s="68"/>
      <c r="O571" s="68"/>
      <c r="P571" s="68"/>
      <c r="Q571" s="125"/>
      <c r="R571" s="68"/>
    </row>
    <row r="572" spans="1:18" ht="33.75" customHeight="1">
      <c r="A572" s="68"/>
      <c r="B572" s="68"/>
      <c r="C572" s="68"/>
      <c r="D572" s="68"/>
      <c r="E572" s="68"/>
      <c r="F572" s="68"/>
      <c r="G572" s="68"/>
      <c r="H572" s="68"/>
      <c r="I572" s="68"/>
      <c r="J572" s="68"/>
      <c r="K572" s="68"/>
      <c r="L572" s="68"/>
      <c r="M572" s="68"/>
      <c r="N572" s="68"/>
      <c r="O572" s="68"/>
      <c r="P572" s="68"/>
      <c r="Q572" s="125"/>
      <c r="R572" s="68"/>
    </row>
    <row r="573" spans="1:18" ht="33.75" customHeight="1">
      <c r="A573" s="68"/>
      <c r="B573" s="68"/>
      <c r="C573" s="68"/>
      <c r="D573" s="68"/>
      <c r="E573" s="68"/>
      <c r="F573" s="68"/>
      <c r="G573" s="68"/>
      <c r="H573" s="68"/>
      <c r="I573" s="68"/>
      <c r="J573" s="68"/>
      <c r="K573" s="68"/>
      <c r="L573" s="68"/>
      <c r="M573" s="68"/>
      <c r="N573" s="68"/>
      <c r="O573" s="68"/>
      <c r="P573" s="68"/>
      <c r="Q573" s="125"/>
      <c r="R573" s="68"/>
    </row>
    <row r="574" spans="1:18" ht="33.75" customHeight="1">
      <c r="A574" s="68"/>
      <c r="B574" s="68"/>
      <c r="C574" s="68"/>
      <c r="D574" s="68"/>
      <c r="E574" s="68"/>
      <c r="F574" s="68"/>
      <c r="G574" s="68"/>
      <c r="H574" s="68"/>
      <c r="I574" s="68"/>
      <c r="J574" s="68"/>
      <c r="K574" s="68"/>
      <c r="L574" s="68"/>
      <c r="M574" s="68"/>
      <c r="N574" s="68"/>
      <c r="O574" s="68"/>
      <c r="P574" s="68"/>
      <c r="Q574" s="125"/>
      <c r="R574" s="68"/>
    </row>
    <row r="575" spans="1:18" ht="33.75" customHeight="1">
      <c r="A575" s="68"/>
      <c r="B575" s="68"/>
      <c r="C575" s="68"/>
      <c r="D575" s="68"/>
      <c r="E575" s="68"/>
      <c r="F575" s="68"/>
      <c r="G575" s="68"/>
      <c r="H575" s="68"/>
      <c r="I575" s="68"/>
      <c r="J575" s="68"/>
      <c r="K575" s="68"/>
      <c r="L575" s="68"/>
      <c r="M575" s="68"/>
      <c r="N575" s="68"/>
      <c r="O575" s="68"/>
      <c r="P575" s="68"/>
      <c r="Q575" s="125"/>
      <c r="R575" s="68"/>
    </row>
    <row r="576" spans="1:18" ht="33.75" customHeight="1">
      <c r="A576" s="68"/>
      <c r="B576" s="68"/>
      <c r="C576" s="68"/>
      <c r="D576" s="68"/>
      <c r="E576" s="68"/>
      <c r="F576" s="68"/>
      <c r="G576" s="68"/>
      <c r="H576" s="68"/>
      <c r="I576" s="68"/>
      <c r="J576" s="68"/>
      <c r="K576" s="68"/>
      <c r="L576" s="68"/>
      <c r="M576" s="68"/>
      <c r="N576" s="68"/>
      <c r="O576" s="68"/>
      <c r="P576" s="68"/>
      <c r="Q576" s="125"/>
      <c r="R576" s="68"/>
    </row>
    <row r="577" spans="1:18" ht="33.75" customHeight="1">
      <c r="A577" s="68"/>
      <c r="B577" s="68"/>
      <c r="C577" s="68"/>
      <c r="D577" s="68"/>
      <c r="E577" s="68"/>
      <c r="F577" s="68"/>
      <c r="G577" s="68"/>
      <c r="H577" s="68"/>
      <c r="I577" s="68"/>
      <c r="J577" s="68"/>
      <c r="K577" s="68"/>
      <c r="L577" s="68"/>
      <c r="M577" s="68"/>
      <c r="N577" s="68"/>
      <c r="O577" s="68"/>
      <c r="P577" s="68"/>
      <c r="Q577" s="125"/>
      <c r="R577" s="68"/>
    </row>
    <row r="578" spans="1:18" ht="33.75" customHeight="1">
      <c r="A578" s="68"/>
      <c r="B578" s="68"/>
      <c r="C578" s="68"/>
      <c r="D578" s="68"/>
      <c r="E578" s="68"/>
      <c r="F578" s="68"/>
      <c r="G578" s="68"/>
      <c r="H578" s="68"/>
      <c r="I578" s="68"/>
      <c r="J578" s="68"/>
      <c r="K578" s="68"/>
      <c r="L578" s="68"/>
      <c r="M578" s="68"/>
      <c r="N578" s="68"/>
      <c r="O578" s="68"/>
      <c r="P578" s="68"/>
      <c r="Q578" s="125"/>
      <c r="R578" s="68"/>
    </row>
    <row r="579" spans="1:18" ht="33.75" customHeight="1">
      <c r="A579" s="68"/>
      <c r="B579" s="68"/>
      <c r="C579" s="68"/>
      <c r="D579" s="68"/>
      <c r="E579" s="68"/>
      <c r="F579" s="68"/>
      <c r="G579" s="68"/>
      <c r="H579" s="68"/>
      <c r="I579" s="68"/>
      <c r="J579" s="68"/>
      <c r="K579" s="68"/>
      <c r="L579" s="68"/>
      <c r="M579" s="68"/>
      <c r="N579" s="68"/>
      <c r="O579" s="68"/>
      <c r="P579" s="68"/>
      <c r="Q579" s="125"/>
      <c r="R579" s="68"/>
    </row>
    <row r="580" spans="1:18" ht="33.75" customHeight="1">
      <c r="A580" s="68"/>
      <c r="B580" s="68"/>
      <c r="C580" s="68"/>
      <c r="D580" s="68"/>
      <c r="E580" s="68"/>
      <c r="F580" s="68"/>
      <c r="G580" s="68"/>
      <c r="H580" s="68"/>
      <c r="I580" s="68"/>
      <c r="J580" s="68"/>
      <c r="K580" s="68"/>
      <c r="L580" s="68"/>
      <c r="M580" s="68"/>
      <c r="N580" s="68"/>
      <c r="O580" s="68"/>
      <c r="P580" s="68"/>
      <c r="Q580" s="125"/>
      <c r="R580" s="68"/>
    </row>
    <row r="581" spans="1:18" ht="33.75" customHeight="1">
      <c r="A581" s="68"/>
      <c r="B581" s="68"/>
      <c r="C581" s="68"/>
      <c r="D581" s="68"/>
      <c r="E581" s="68"/>
      <c r="F581" s="68"/>
      <c r="G581" s="68"/>
      <c r="H581" s="68"/>
      <c r="I581" s="68"/>
      <c r="J581" s="68"/>
      <c r="K581" s="68"/>
      <c r="L581" s="68"/>
      <c r="M581" s="68"/>
      <c r="N581" s="68"/>
      <c r="O581" s="68"/>
      <c r="P581" s="68"/>
      <c r="Q581" s="125"/>
      <c r="R581" s="68"/>
    </row>
    <row r="582" spans="1:18" ht="33.75" customHeight="1">
      <c r="A582" s="68"/>
      <c r="B582" s="68"/>
      <c r="C582" s="68"/>
      <c r="D582" s="68"/>
      <c r="E582" s="68"/>
      <c r="F582" s="68"/>
      <c r="G582" s="68"/>
      <c r="H582" s="68"/>
      <c r="I582" s="68"/>
      <c r="J582" s="68"/>
      <c r="K582" s="68"/>
      <c r="L582" s="68"/>
      <c r="M582" s="68"/>
      <c r="N582" s="68"/>
      <c r="O582" s="68"/>
      <c r="P582" s="68"/>
      <c r="Q582" s="125"/>
      <c r="R582" s="68"/>
    </row>
    <row r="583" spans="1:18" ht="33.75" customHeight="1">
      <c r="A583" s="68"/>
      <c r="B583" s="68"/>
      <c r="C583" s="68"/>
      <c r="D583" s="68"/>
      <c r="E583" s="68"/>
      <c r="F583" s="68"/>
      <c r="G583" s="68"/>
      <c r="H583" s="68"/>
      <c r="I583" s="68"/>
      <c r="J583" s="68"/>
      <c r="K583" s="68"/>
      <c r="L583" s="68"/>
      <c r="M583" s="68"/>
      <c r="N583" s="68"/>
      <c r="O583" s="68"/>
      <c r="P583" s="68"/>
      <c r="Q583" s="125"/>
      <c r="R583" s="68"/>
    </row>
    <row r="584" spans="1:18" ht="33.75" customHeight="1">
      <c r="A584" s="68"/>
      <c r="B584" s="68"/>
      <c r="C584" s="68"/>
      <c r="D584" s="68"/>
      <c r="E584" s="68"/>
      <c r="F584" s="68"/>
      <c r="G584" s="68"/>
      <c r="H584" s="68"/>
      <c r="I584" s="68"/>
      <c r="J584" s="68"/>
      <c r="K584" s="68"/>
      <c r="L584" s="68"/>
      <c r="M584" s="68"/>
      <c r="N584" s="68"/>
      <c r="O584" s="68"/>
      <c r="P584" s="68"/>
      <c r="Q584" s="125"/>
      <c r="R584" s="68"/>
    </row>
    <row r="585" spans="1:18" ht="33.75" customHeight="1">
      <c r="A585" s="68"/>
      <c r="B585" s="68"/>
      <c r="C585" s="68"/>
      <c r="D585" s="68"/>
      <c r="E585" s="68"/>
      <c r="F585" s="68"/>
      <c r="G585" s="68"/>
      <c r="H585" s="68"/>
      <c r="I585" s="68"/>
      <c r="J585" s="68"/>
      <c r="K585" s="68"/>
      <c r="L585" s="68"/>
      <c r="M585" s="68"/>
      <c r="N585" s="68"/>
      <c r="O585" s="68"/>
      <c r="P585" s="68"/>
      <c r="Q585" s="125"/>
      <c r="R585" s="68"/>
    </row>
    <row r="586" spans="1:18" ht="33.75" customHeight="1">
      <c r="A586" s="68"/>
      <c r="B586" s="68"/>
      <c r="C586" s="68"/>
      <c r="D586" s="68"/>
      <c r="E586" s="68"/>
      <c r="F586" s="68"/>
      <c r="G586" s="68"/>
      <c r="H586" s="68"/>
      <c r="I586" s="68"/>
      <c r="J586" s="68"/>
      <c r="K586" s="68"/>
      <c r="L586" s="68"/>
      <c r="M586" s="68"/>
      <c r="N586" s="68"/>
      <c r="O586" s="68"/>
      <c r="P586" s="68"/>
      <c r="Q586" s="125"/>
      <c r="R586" s="68"/>
    </row>
    <row r="587" spans="1:18" ht="33.75" customHeight="1">
      <c r="A587" s="68"/>
      <c r="B587" s="68"/>
      <c r="C587" s="68"/>
      <c r="D587" s="68"/>
      <c r="E587" s="68"/>
      <c r="F587" s="68"/>
      <c r="G587" s="68"/>
      <c r="H587" s="68"/>
      <c r="I587" s="68"/>
      <c r="J587" s="68"/>
      <c r="K587" s="68"/>
      <c r="L587" s="68"/>
      <c r="M587" s="68"/>
      <c r="N587" s="68"/>
      <c r="O587" s="68"/>
      <c r="P587" s="68"/>
      <c r="Q587" s="125"/>
      <c r="R587" s="68"/>
    </row>
    <row r="588" spans="1:18" ht="33.75" customHeight="1">
      <c r="A588" s="68"/>
      <c r="B588" s="68"/>
      <c r="C588" s="68"/>
      <c r="D588" s="68"/>
      <c r="E588" s="68"/>
      <c r="F588" s="68"/>
      <c r="G588" s="68"/>
      <c r="H588" s="68"/>
      <c r="I588" s="68"/>
      <c r="J588" s="68"/>
      <c r="K588" s="68"/>
      <c r="L588" s="68"/>
      <c r="M588" s="68"/>
      <c r="N588" s="68"/>
      <c r="O588" s="68"/>
      <c r="P588" s="68"/>
      <c r="Q588" s="125"/>
      <c r="R588" s="68"/>
    </row>
    <row r="589" spans="1:18" ht="33.75" customHeight="1">
      <c r="A589" s="68"/>
      <c r="B589" s="68"/>
      <c r="C589" s="68"/>
      <c r="D589" s="68"/>
      <c r="E589" s="68"/>
      <c r="F589" s="68"/>
      <c r="G589" s="68"/>
      <c r="H589" s="68"/>
      <c r="I589" s="68"/>
      <c r="J589" s="68"/>
      <c r="K589" s="68"/>
      <c r="L589" s="68"/>
      <c r="M589" s="68"/>
      <c r="N589" s="68"/>
      <c r="O589" s="68"/>
      <c r="P589" s="68"/>
      <c r="Q589" s="125"/>
      <c r="R589" s="68"/>
    </row>
    <row r="590" spans="1:18" ht="33.75" customHeight="1">
      <c r="A590" s="68"/>
      <c r="B590" s="68"/>
      <c r="C590" s="68"/>
      <c r="D590" s="68"/>
      <c r="E590" s="68"/>
      <c r="F590" s="68"/>
      <c r="G590" s="68"/>
      <c r="H590" s="68"/>
      <c r="I590" s="68"/>
      <c r="J590" s="68"/>
      <c r="K590" s="68"/>
      <c r="L590" s="68"/>
      <c r="M590" s="68"/>
      <c r="N590" s="68"/>
      <c r="O590" s="68"/>
      <c r="P590" s="68"/>
      <c r="Q590" s="125"/>
      <c r="R590" s="68"/>
    </row>
    <row r="591" spans="1:18" ht="33.75" customHeight="1">
      <c r="A591" s="68"/>
      <c r="B591" s="68"/>
      <c r="C591" s="68"/>
      <c r="D591" s="68"/>
      <c r="E591" s="68"/>
      <c r="F591" s="68"/>
      <c r="G591" s="68"/>
      <c r="H591" s="68"/>
      <c r="I591" s="68"/>
      <c r="J591" s="68"/>
      <c r="K591" s="68"/>
      <c r="L591" s="68"/>
      <c r="M591" s="68"/>
      <c r="N591" s="68"/>
      <c r="O591" s="68"/>
      <c r="P591" s="68"/>
      <c r="Q591" s="125"/>
      <c r="R591" s="68"/>
    </row>
    <row r="592" spans="1:18" ht="33.75" customHeight="1">
      <c r="A592" s="68"/>
      <c r="B592" s="68"/>
      <c r="C592" s="68"/>
      <c r="D592" s="68"/>
      <c r="E592" s="68"/>
      <c r="F592" s="68"/>
      <c r="G592" s="68"/>
      <c r="H592" s="68"/>
      <c r="I592" s="68"/>
      <c r="J592" s="68"/>
      <c r="K592" s="68"/>
      <c r="L592" s="68"/>
      <c r="M592" s="68"/>
      <c r="N592" s="68"/>
      <c r="O592" s="68"/>
      <c r="P592" s="68"/>
      <c r="Q592" s="125"/>
      <c r="R592" s="68"/>
    </row>
    <row r="593" spans="1:18" ht="33.75" customHeight="1">
      <c r="A593" s="68"/>
      <c r="B593" s="68"/>
      <c r="C593" s="68"/>
      <c r="D593" s="68"/>
      <c r="E593" s="68"/>
      <c r="F593" s="68"/>
      <c r="G593" s="68"/>
      <c r="H593" s="68"/>
      <c r="I593" s="68"/>
      <c r="J593" s="68"/>
      <c r="K593" s="68"/>
      <c r="L593" s="68"/>
      <c r="M593" s="68"/>
      <c r="N593" s="68"/>
      <c r="O593" s="68"/>
      <c r="P593" s="68"/>
      <c r="Q593" s="125"/>
      <c r="R593" s="68"/>
    </row>
    <row r="594" spans="1:18" ht="33.75" customHeight="1">
      <c r="A594" s="68"/>
      <c r="B594" s="68"/>
      <c r="C594" s="68"/>
      <c r="D594" s="68"/>
      <c r="E594" s="68"/>
      <c r="F594" s="68"/>
      <c r="G594" s="68"/>
      <c r="H594" s="68"/>
      <c r="I594" s="68"/>
      <c r="J594" s="68"/>
      <c r="K594" s="68"/>
      <c r="L594" s="68"/>
      <c r="M594" s="68"/>
      <c r="N594" s="68"/>
      <c r="O594" s="68"/>
      <c r="P594" s="68"/>
      <c r="Q594" s="125"/>
      <c r="R594" s="68"/>
    </row>
    <row r="595" spans="1:18" ht="33.75" customHeight="1">
      <c r="A595" s="68"/>
      <c r="B595" s="68"/>
      <c r="C595" s="68"/>
      <c r="D595" s="68"/>
      <c r="E595" s="68"/>
      <c r="F595" s="68"/>
      <c r="G595" s="68"/>
      <c r="H595" s="68"/>
      <c r="I595" s="68"/>
      <c r="J595" s="68"/>
      <c r="K595" s="68"/>
      <c r="L595" s="68"/>
      <c r="M595" s="68"/>
      <c r="N595" s="68"/>
      <c r="O595" s="68"/>
      <c r="P595" s="68"/>
      <c r="Q595" s="125"/>
      <c r="R595" s="68"/>
    </row>
    <row r="596" spans="1:18" ht="33.75" customHeight="1">
      <c r="A596" s="68"/>
      <c r="B596" s="68"/>
      <c r="C596" s="68"/>
      <c r="D596" s="68"/>
      <c r="E596" s="68"/>
      <c r="F596" s="68"/>
      <c r="G596" s="68"/>
      <c r="H596" s="68"/>
      <c r="I596" s="68"/>
      <c r="J596" s="68"/>
      <c r="K596" s="68"/>
      <c r="L596" s="68"/>
      <c r="M596" s="68"/>
      <c r="N596" s="68"/>
      <c r="O596" s="68"/>
      <c r="P596" s="68"/>
      <c r="Q596" s="125"/>
      <c r="R596" s="68"/>
    </row>
    <row r="597" spans="1:18" ht="33.75" customHeight="1">
      <c r="A597" s="68"/>
      <c r="B597" s="68"/>
      <c r="C597" s="68"/>
      <c r="D597" s="68"/>
      <c r="E597" s="68"/>
      <c r="F597" s="68"/>
      <c r="G597" s="68"/>
      <c r="H597" s="68"/>
      <c r="I597" s="68"/>
      <c r="J597" s="68"/>
      <c r="K597" s="68"/>
      <c r="L597" s="68"/>
      <c r="M597" s="68"/>
      <c r="N597" s="68"/>
      <c r="O597" s="68"/>
      <c r="P597" s="68"/>
      <c r="Q597" s="125"/>
      <c r="R597" s="68"/>
    </row>
    <row r="598" spans="1:18" ht="33.75" customHeight="1">
      <c r="A598" s="68"/>
      <c r="B598" s="68"/>
      <c r="C598" s="68"/>
      <c r="D598" s="68"/>
      <c r="E598" s="68"/>
      <c r="F598" s="68"/>
      <c r="G598" s="68"/>
      <c r="H598" s="68"/>
      <c r="I598" s="68"/>
      <c r="J598" s="68"/>
      <c r="K598" s="68"/>
      <c r="L598" s="68"/>
      <c r="M598" s="68"/>
      <c r="N598" s="68"/>
      <c r="O598" s="68"/>
      <c r="P598" s="68"/>
      <c r="Q598" s="125"/>
      <c r="R598" s="68"/>
    </row>
    <row r="599" spans="1:18" ht="33.75" customHeight="1">
      <c r="A599" s="68"/>
      <c r="B599" s="68"/>
      <c r="C599" s="68"/>
      <c r="D599" s="68"/>
      <c r="E599" s="68"/>
      <c r="F599" s="68"/>
      <c r="G599" s="68"/>
      <c r="H599" s="68"/>
      <c r="I599" s="68"/>
      <c r="J599" s="68"/>
      <c r="K599" s="68"/>
      <c r="L599" s="68"/>
      <c r="M599" s="68"/>
      <c r="N599" s="68"/>
      <c r="O599" s="68"/>
      <c r="P599" s="68"/>
      <c r="Q599" s="125"/>
      <c r="R599" s="68"/>
    </row>
    <row r="600" spans="1:18" ht="33.75" customHeight="1">
      <c r="A600" s="68"/>
      <c r="B600" s="68"/>
      <c r="C600" s="68"/>
      <c r="D600" s="68"/>
      <c r="E600" s="68"/>
      <c r="F600" s="68"/>
      <c r="G600" s="68"/>
      <c r="H600" s="68"/>
      <c r="I600" s="68"/>
      <c r="J600" s="68"/>
      <c r="K600" s="68"/>
      <c r="L600" s="68"/>
      <c r="M600" s="68"/>
      <c r="N600" s="68"/>
      <c r="O600" s="68"/>
      <c r="P600" s="68"/>
      <c r="Q600" s="125"/>
      <c r="R600" s="68"/>
    </row>
    <row r="601" spans="1:18" ht="33.75" customHeight="1">
      <c r="A601" s="68"/>
      <c r="B601" s="68"/>
      <c r="C601" s="68"/>
      <c r="D601" s="68"/>
      <c r="E601" s="68"/>
      <c r="F601" s="68"/>
      <c r="G601" s="68"/>
      <c r="H601" s="68"/>
      <c r="I601" s="68"/>
      <c r="J601" s="68"/>
      <c r="K601" s="68"/>
      <c r="L601" s="68"/>
      <c r="M601" s="68"/>
      <c r="N601" s="68"/>
      <c r="O601" s="68"/>
      <c r="P601" s="68"/>
      <c r="Q601" s="125"/>
      <c r="R601" s="68"/>
    </row>
    <row r="602" spans="1:18" ht="33.75" customHeight="1">
      <c r="A602" s="68"/>
      <c r="B602" s="68"/>
      <c r="C602" s="68"/>
      <c r="D602" s="68"/>
      <c r="E602" s="68"/>
      <c r="F602" s="68"/>
      <c r="G602" s="68"/>
      <c r="H602" s="68"/>
      <c r="I602" s="68"/>
      <c r="J602" s="68"/>
      <c r="K602" s="68"/>
      <c r="L602" s="68"/>
      <c r="M602" s="68"/>
      <c r="N602" s="68"/>
      <c r="O602" s="68"/>
      <c r="P602" s="68"/>
      <c r="Q602" s="125"/>
      <c r="R602" s="68"/>
    </row>
    <row r="603" spans="1:18" ht="33.75" customHeight="1">
      <c r="A603" s="68"/>
      <c r="B603" s="68"/>
      <c r="C603" s="68"/>
      <c r="D603" s="68"/>
      <c r="E603" s="68"/>
      <c r="F603" s="68"/>
      <c r="G603" s="68"/>
      <c r="H603" s="68"/>
      <c r="I603" s="68"/>
      <c r="J603" s="68"/>
      <c r="K603" s="68"/>
      <c r="L603" s="68"/>
      <c r="M603" s="68"/>
      <c r="N603" s="68"/>
      <c r="O603" s="68"/>
      <c r="P603" s="68"/>
      <c r="Q603" s="125"/>
      <c r="R603" s="68"/>
    </row>
    <row r="604" spans="1:18" ht="33.75" customHeight="1">
      <c r="A604" s="68"/>
      <c r="B604" s="68"/>
      <c r="C604" s="68"/>
      <c r="D604" s="68"/>
      <c r="E604" s="68"/>
      <c r="F604" s="68"/>
      <c r="G604" s="68"/>
      <c r="H604" s="68"/>
      <c r="I604" s="68"/>
      <c r="J604" s="68"/>
      <c r="K604" s="68"/>
      <c r="L604" s="68"/>
      <c r="M604" s="68"/>
      <c r="N604" s="68"/>
      <c r="O604" s="68"/>
      <c r="P604" s="68"/>
      <c r="Q604" s="125"/>
      <c r="R604" s="68"/>
    </row>
    <row r="605" spans="1:18" ht="33.75" customHeight="1">
      <c r="A605" s="68"/>
      <c r="B605" s="68"/>
      <c r="C605" s="68"/>
      <c r="D605" s="68"/>
      <c r="E605" s="68"/>
      <c r="F605" s="68"/>
      <c r="G605" s="68"/>
      <c r="H605" s="68"/>
      <c r="I605" s="68"/>
      <c r="J605" s="68"/>
      <c r="K605" s="68"/>
      <c r="L605" s="68"/>
      <c r="M605" s="68"/>
      <c r="N605" s="68"/>
      <c r="O605" s="68"/>
      <c r="P605" s="68"/>
      <c r="Q605" s="125"/>
      <c r="R605" s="68"/>
    </row>
    <row r="606" spans="1:18" ht="33.75" customHeight="1">
      <c r="A606" s="68"/>
      <c r="B606" s="68"/>
      <c r="C606" s="68"/>
      <c r="D606" s="68"/>
      <c r="E606" s="68"/>
      <c r="F606" s="68"/>
      <c r="G606" s="68"/>
      <c r="H606" s="68"/>
      <c r="I606" s="68"/>
      <c r="J606" s="68"/>
      <c r="K606" s="68"/>
      <c r="L606" s="68"/>
      <c r="M606" s="68"/>
      <c r="N606" s="68"/>
      <c r="O606" s="68"/>
      <c r="P606" s="68"/>
      <c r="Q606" s="125"/>
      <c r="R606" s="68"/>
    </row>
    <row r="607" spans="1:18" ht="33.75" customHeight="1">
      <c r="A607" s="68"/>
      <c r="B607" s="68"/>
      <c r="C607" s="68"/>
      <c r="D607" s="68"/>
      <c r="E607" s="68"/>
      <c r="F607" s="68"/>
      <c r="G607" s="68"/>
      <c r="H607" s="68"/>
      <c r="I607" s="68"/>
      <c r="J607" s="68"/>
      <c r="K607" s="68"/>
      <c r="L607" s="68"/>
      <c r="M607" s="68"/>
      <c r="N607" s="68"/>
      <c r="O607" s="68"/>
      <c r="P607" s="68"/>
      <c r="Q607" s="125"/>
      <c r="R607" s="68"/>
    </row>
    <row r="608" spans="1:18" ht="33.75" customHeight="1">
      <c r="A608" s="68"/>
      <c r="B608" s="68"/>
      <c r="C608" s="68"/>
      <c r="D608" s="68"/>
      <c r="E608" s="68"/>
      <c r="F608" s="68"/>
      <c r="G608" s="68"/>
      <c r="H608" s="68"/>
      <c r="I608" s="68"/>
      <c r="J608" s="68"/>
      <c r="K608" s="68"/>
      <c r="L608" s="68"/>
      <c r="M608" s="68"/>
      <c r="N608" s="68"/>
      <c r="O608" s="68"/>
      <c r="P608" s="68"/>
      <c r="Q608" s="125"/>
      <c r="R608" s="68"/>
    </row>
    <row r="609" spans="1:18" ht="33.75" customHeight="1">
      <c r="A609" s="68"/>
      <c r="B609" s="68"/>
      <c r="C609" s="68"/>
      <c r="D609" s="68"/>
      <c r="E609" s="68"/>
      <c r="F609" s="68"/>
      <c r="G609" s="68"/>
      <c r="H609" s="68"/>
      <c r="I609" s="68"/>
      <c r="J609" s="68"/>
      <c r="K609" s="68"/>
      <c r="L609" s="68"/>
      <c r="M609" s="68"/>
      <c r="N609" s="68"/>
      <c r="O609" s="68"/>
      <c r="P609" s="68"/>
      <c r="Q609" s="125"/>
      <c r="R609" s="68"/>
    </row>
    <row r="610" spans="1:18" ht="33.75" customHeight="1">
      <c r="A610" s="68"/>
      <c r="B610" s="68"/>
      <c r="C610" s="68"/>
      <c r="D610" s="68"/>
      <c r="E610" s="68"/>
      <c r="F610" s="68"/>
      <c r="G610" s="68"/>
      <c r="H610" s="68"/>
      <c r="I610" s="68"/>
      <c r="J610" s="68"/>
      <c r="K610" s="68"/>
      <c r="L610" s="68"/>
      <c r="M610" s="68"/>
      <c r="N610" s="68"/>
      <c r="O610" s="68"/>
      <c r="P610" s="68"/>
      <c r="Q610" s="125"/>
      <c r="R610" s="68"/>
    </row>
    <row r="611" spans="1:18" ht="33.75" customHeight="1">
      <c r="A611" s="68"/>
      <c r="B611" s="68"/>
      <c r="C611" s="68"/>
      <c r="D611" s="68"/>
      <c r="E611" s="68"/>
      <c r="F611" s="68"/>
      <c r="G611" s="68"/>
      <c r="H611" s="68"/>
      <c r="I611" s="68"/>
      <c r="J611" s="68"/>
      <c r="K611" s="68"/>
      <c r="L611" s="68"/>
      <c r="M611" s="68"/>
      <c r="N611" s="68"/>
      <c r="O611" s="68"/>
      <c r="P611" s="68"/>
      <c r="Q611" s="125"/>
      <c r="R611" s="68"/>
    </row>
    <row r="612" spans="1:18" ht="33.75" customHeight="1">
      <c r="A612" s="68"/>
      <c r="B612" s="68"/>
      <c r="C612" s="68"/>
      <c r="D612" s="68"/>
      <c r="E612" s="68"/>
      <c r="F612" s="68"/>
      <c r="G612" s="68"/>
      <c r="H612" s="68"/>
      <c r="I612" s="68"/>
      <c r="J612" s="68"/>
      <c r="K612" s="68"/>
      <c r="L612" s="68"/>
      <c r="M612" s="68"/>
      <c r="N612" s="68"/>
      <c r="O612" s="68"/>
      <c r="P612" s="68"/>
      <c r="Q612" s="125"/>
      <c r="R612" s="68"/>
    </row>
    <row r="613" spans="1:18" ht="33.75" customHeight="1">
      <c r="A613" s="68"/>
      <c r="B613" s="68"/>
      <c r="C613" s="68"/>
      <c r="D613" s="68"/>
      <c r="E613" s="68"/>
      <c r="F613" s="68"/>
      <c r="G613" s="68"/>
      <c r="H613" s="68"/>
      <c r="I613" s="68"/>
      <c r="J613" s="68"/>
      <c r="K613" s="68"/>
      <c r="L613" s="68"/>
      <c r="M613" s="68"/>
      <c r="N613" s="68"/>
      <c r="O613" s="68"/>
      <c r="P613" s="68"/>
      <c r="Q613" s="125"/>
      <c r="R613" s="68"/>
    </row>
    <row r="614" spans="1:18" ht="33.75" customHeight="1">
      <c r="A614" s="68"/>
      <c r="B614" s="68"/>
      <c r="C614" s="68"/>
      <c r="D614" s="68"/>
      <c r="E614" s="68"/>
      <c r="F614" s="68"/>
      <c r="G614" s="68"/>
      <c r="H614" s="68"/>
      <c r="I614" s="68"/>
      <c r="J614" s="68"/>
      <c r="K614" s="68"/>
      <c r="L614" s="68"/>
      <c r="M614" s="68"/>
      <c r="N614" s="68"/>
      <c r="O614" s="68"/>
      <c r="P614" s="68"/>
      <c r="Q614" s="125"/>
      <c r="R614" s="68"/>
    </row>
    <row r="615" spans="1:18" ht="33.75" customHeight="1">
      <c r="A615" s="68"/>
      <c r="B615" s="68"/>
      <c r="C615" s="68"/>
      <c r="D615" s="68"/>
      <c r="E615" s="68"/>
      <c r="F615" s="68"/>
      <c r="G615" s="68"/>
      <c r="H615" s="68"/>
      <c r="I615" s="68"/>
      <c r="J615" s="68"/>
      <c r="K615" s="68"/>
      <c r="L615" s="68"/>
      <c r="M615" s="68"/>
      <c r="N615" s="68"/>
      <c r="O615" s="68"/>
      <c r="P615" s="68"/>
      <c r="Q615" s="125"/>
      <c r="R615" s="68"/>
    </row>
    <row r="616" spans="1:18" ht="33.75" customHeight="1">
      <c r="A616" s="68"/>
      <c r="B616" s="68"/>
      <c r="C616" s="68"/>
      <c r="D616" s="68"/>
      <c r="E616" s="68"/>
      <c r="F616" s="68"/>
      <c r="G616" s="68"/>
      <c r="H616" s="68"/>
      <c r="I616" s="68"/>
      <c r="J616" s="68"/>
      <c r="K616" s="68"/>
      <c r="L616" s="68"/>
      <c r="M616" s="68"/>
      <c r="N616" s="68"/>
      <c r="O616" s="68"/>
      <c r="P616" s="68"/>
      <c r="Q616" s="125"/>
      <c r="R616" s="68"/>
    </row>
    <row r="617" spans="1:18" ht="33.75" customHeight="1">
      <c r="A617" s="68"/>
      <c r="B617" s="68"/>
      <c r="C617" s="68"/>
      <c r="D617" s="68"/>
      <c r="E617" s="68"/>
      <c r="F617" s="68"/>
      <c r="G617" s="68"/>
      <c r="H617" s="68"/>
      <c r="I617" s="68"/>
      <c r="J617" s="68"/>
      <c r="K617" s="68"/>
      <c r="L617" s="68"/>
      <c r="M617" s="68"/>
      <c r="N617" s="68"/>
      <c r="O617" s="68"/>
      <c r="P617" s="68"/>
      <c r="Q617" s="125"/>
      <c r="R617" s="68"/>
    </row>
    <row r="618" spans="1:18" ht="33.75" customHeight="1">
      <c r="A618" s="68"/>
      <c r="B618" s="68"/>
      <c r="C618" s="68"/>
      <c r="D618" s="68"/>
      <c r="E618" s="68"/>
      <c r="F618" s="68"/>
      <c r="G618" s="68"/>
      <c r="H618" s="68"/>
      <c r="I618" s="68"/>
      <c r="J618" s="68"/>
      <c r="K618" s="68"/>
      <c r="L618" s="68"/>
      <c r="M618" s="68"/>
      <c r="N618" s="68"/>
      <c r="O618" s="68"/>
      <c r="P618" s="68"/>
      <c r="Q618" s="125"/>
      <c r="R618" s="68"/>
    </row>
    <row r="619" spans="1:18" ht="33.75" customHeight="1">
      <c r="A619" s="68"/>
      <c r="B619" s="68"/>
      <c r="C619" s="68"/>
      <c r="D619" s="68"/>
      <c r="E619" s="68"/>
      <c r="F619" s="68"/>
      <c r="G619" s="68"/>
      <c r="H619" s="68"/>
      <c r="I619" s="68"/>
      <c r="J619" s="68"/>
      <c r="K619" s="68"/>
      <c r="L619" s="68"/>
      <c r="M619" s="68"/>
      <c r="N619" s="68"/>
      <c r="O619" s="68"/>
      <c r="P619" s="68"/>
      <c r="Q619" s="125"/>
      <c r="R619" s="68"/>
    </row>
    <row r="620" spans="1:18" ht="33.75" customHeight="1">
      <c r="A620" s="68"/>
      <c r="B620" s="68"/>
      <c r="C620" s="68"/>
      <c r="D620" s="68"/>
      <c r="E620" s="68"/>
      <c r="F620" s="68"/>
      <c r="G620" s="68"/>
      <c r="H620" s="68"/>
      <c r="I620" s="68"/>
      <c r="J620" s="68"/>
      <c r="K620" s="68"/>
      <c r="L620" s="68"/>
      <c r="M620" s="68"/>
      <c r="N620" s="68"/>
      <c r="O620" s="68"/>
      <c r="P620" s="68"/>
      <c r="Q620" s="125"/>
      <c r="R620" s="68"/>
    </row>
    <row r="621" spans="1:18" ht="33.75" customHeight="1">
      <c r="A621" s="68"/>
      <c r="B621" s="68"/>
      <c r="C621" s="68"/>
      <c r="D621" s="68"/>
      <c r="E621" s="68"/>
      <c r="F621" s="68"/>
      <c r="G621" s="68"/>
      <c r="H621" s="68"/>
      <c r="I621" s="68"/>
      <c r="J621" s="68"/>
      <c r="K621" s="68"/>
      <c r="L621" s="68"/>
      <c r="M621" s="68"/>
      <c r="N621" s="68"/>
      <c r="O621" s="68"/>
      <c r="P621" s="68"/>
      <c r="Q621" s="125"/>
      <c r="R621" s="68"/>
    </row>
    <row r="622" spans="1:18" ht="33.75" customHeight="1">
      <c r="A622" s="68"/>
      <c r="B622" s="68"/>
      <c r="C622" s="68"/>
      <c r="D622" s="68"/>
      <c r="E622" s="68"/>
      <c r="F622" s="68"/>
      <c r="G622" s="68"/>
      <c r="H622" s="68"/>
      <c r="I622" s="68"/>
      <c r="J622" s="68"/>
      <c r="K622" s="68"/>
      <c r="L622" s="68"/>
      <c r="M622" s="68"/>
      <c r="N622" s="68"/>
      <c r="O622" s="68"/>
      <c r="P622" s="68"/>
      <c r="Q622" s="125"/>
      <c r="R622" s="68"/>
    </row>
    <row r="623" spans="1:18" ht="33.75" customHeight="1">
      <c r="A623" s="68"/>
      <c r="B623" s="68"/>
      <c r="C623" s="68"/>
      <c r="D623" s="68"/>
      <c r="E623" s="68"/>
      <c r="F623" s="68"/>
      <c r="G623" s="68"/>
      <c r="H623" s="68"/>
      <c r="I623" s="68"/>
      <c r="J623" s="68"/>
      <c r="K623" s="68"/>
      <c r="L623" s="68"/>
      <c r="M623" s="68"/>
      <c r="N623" s="68"/>
      <c r="O623" s="68"/>
      <c r="P623" s="68"/>
      <c r="Q623" s="125"/>
      <c r="R623" s="68"/>
    </row>
    <row r="624" spans="1:18" ht="33.75" customHeight="1">
      <c r="A624" s="68"/>
      <c r="B624" s="68"/>
      <c r="C624" s="68"/>
      <c r="D624" s="68"/>
      <c r="E624" s="68"/>
      <c r="F624" s="68"/>
      <c r="G624" s="68"/>
      <c r="H624" s="68"/>
      <c r="I624" s="68"/>
      <c r="J624" s="68"/>
      <c r="K624" s="68"/>
      <c r="L624" s="68"/>
      <c r="M624" s="68"/>
      <c r="N624" s="68"/>
      <c r="O624" s="68"/>
      <c r="P624" s="68"/>
      <c r="Q624" s="125"/>
      <c r="R624" s="68"/>
    </row>
    <row r="625" spans="1:18" ht="33.75" customHeight="1">
      <c r="A625" s="68"/>
      <c r="B625" s="68"/>
      <c r="C625" s="68"/>
      <c r="D625" s="68"/>
      <c r="E625" s="68"/>
      <c r="F625" s="68"/>
      <c r="G625" s="68"/>
      <c r="H625" s="68"/>
      <c r="I625" s="68"/>
      <c r="J625" s="68"/>
      <c r="K625" s="68"/>
      <c r="L625" s="68"/>
      <c r="M625" s="68"/>
      <c r="N625" s="68"/>
      <c r="O625" s="68"/>
      <c r="P625" s="68"/>
      <c r="Q625" s="125"/>
      <c r="R625" s="68"/>
    </row>
    <row r="626" spans="1:18" ht="33.75" customHeight="1">
      <c r="A626" s="68"/>
      <c r="B626" s="68"/>
      <c r="C626" s="68"/>
      <c r="D626" s="68"/>
      <c r="E626" s="68"/>
      <c r="F626" s="68"/>
      <c r="G626" s="68"/>
      <c r="H626" s="68"/>
      <c r="I626" s="68"/>
      <c r="J626" s="68"/>
      <c r="K626" s="68"/>
      <c r="L626" s="68"/>
      <c r="M626" s="68"/>
      <c r="N626" s="68"/>
      <c r="O626" s="68"/>
      <c r="P626" s="68"/>
      <c r="Q626" s="125"/>
      <c r="R626" s="68"/>
    </row>
    <row r="627" spans="1:18" ht="33.75" customHeight="1">
      <c r="A627" s="68"/>
      <c r="B627" s="68"/>
      <c r="C627" s="68"/>
      <c r="D627" s="68"/>
      <c r="E627" s="68"/>
      <c r="F627" s="68"/>
      <c r="G627" s="68"/>
      <c r="H627" s="68"/>
      <c r="I627" s="68"/>
      <c r="J627" s="68"/>
      <c r="K627" s="68"/>
      <c r="L627" s="68"/>
      <c r="M627" s="68"/>
      <c r="N627" s="68"/>
      <c r="O627" s="68"/>
      <c r="P627" s="68"/>
      <c r="Q627" s="125"/>
      <c r="R627" s="68"/>
    </row>
    <row r="628" spans="1:18" ht="33.75" customHeight="1">
      <c r="A628" s="68"/>
      <c r="B628" s="68"/>
      <c r="C628" s="68"/>
      <c r="D628" s="68"/>
      <c r="E628" s="68"/>
      <c r="F628" s="68"/>
      <c r="G628" s="68"/>
      <c r="H628" s="68"/>
      <c r="I628" s="68"/>
      <c r="J628" s="68"/>
      <c r="K628" s="68"/>
      <c r="L628" s="68"/>
      <c r="M628" s="68"/>
      <c r="N628" s="68"/>
      <c r="O628" s="68"/>
      <c r="P628" s="68"/>
      <c r="Q628" s="125"/>
      <c r="R628" s="68"/>
    </row>
    <row r="629" spans="1:18" ht="33.75" customHeight="1">
      <c r="A629" s="68"/>
      <c r="B629" s="68"/>
      <c r="C629" s="68"/>
      <c r="D629" s="68"/>
      <c r="E629" s="68"/>
      <c r="F629" s="68"/>
      <c r="G629" s="68"/>
      <c r="H629" s="68"/>
      <c r="I629" s="68"/>
      <c r="J629" s="68"/>
      <c r="K629" s="68"/>
      <c r="L629" s="68"/>
      <c r="M629" s="68"/>
      <c r="N629" s="68"/>
      <c r="O629" s="68"/>
      <c r="P629" s="68"/>
      <c r="Q629" s="125"/>
      <c r="R629" s="68"/>
    </row>
    <row r="630" spans="1:18" ht="33.75" customHeight="1">
      <c r="A630" s="68"/>
      <c r="B630" s="68"/>
      <c r="C630" s="68"/>
      <c r="D630" s="68"/>
      <c r="E630" s="68"/>
      <c r="F630" s="68"/>
      <c r="G630" s="68"/>
      <c r="H630" s="68"/>
      <c r="I630" s="68"/>
      <c r="J630" s="68"/>
      <c r="K630" s="68"/>
      <c r="L630" s="68"/>
      <c r="M630" s="68"/>
      <c r="N630" s="68"/>
      <c r="O630" s="68"/>
      <c r="P630" s="68"/>
      <c r="Q630" s="125"/>
      <c r="R630" s="68"/>
    </row>
    <row r="631" spans="1:18" ht="33.75" customHeight="1">
      <c r="A631" s="68"/>
      <c r="B631" s="68"/>
      <c r="C631" s="68"/>
      <c r="D631" s="68"/>
      <c r="E631" s="68"/>
      <c r="F631" s="68"/>
      <c r="G631" s="68"/>
      <c r="H631" s="68"/>
      <c r="I631" s="68"/>
      <c r="J631" s="68"/>
      <c r="K631" s="68"/>
      <c r="L631" s="68"/>
      <c r="M631" s="68"/>
      <c r="N631" s="68"/>
      <c r="O631" s="68"/>
      <c r="P631" s="68"/>
      <c r="Q631" s="125"/>
      <c r="R631" s="68"/>
    </row>
    <row r="632" spans="1:18" ht="33.75" customHeight="1">
      <c r="A632" s="68"/>
      <c r="B632" s="68"/>
      <c r="C632" s="68"/>
      <c r="D632" s="68"/>
      <c r="E632" s="68"/>
      <c r="F632" s="68"/>
      <c r="G632" s="68"/>
      <c r="H632" s="68"/>
      <c r="I632" s="68"/>
      <c r="J632" s="68"/>
      <c r="K632" s="68"/>
      <c r="L632" s="68"/>
      <c r="M632" s="68"/>
      <c r="N632" s="68"/>
      <c r="O632" s="68"/>
      <c r="P632" s="68"/>
      <c r="Q632" s="125"/>
      <c r="R632" s="68"/>
    </row>
    <row r="633" spans="1:18" ht="33.75" customHeight="1">
      <c r="A633" s="68"/>
      <c r="B633" s="68"/>
      <c r="C633" s="68"/>
      <c r="D633" s="68"/>
      <c r="E633" s="68"/>
      <c r="F633" s="68"/>
      <c r="G633" s="68"/>
      <c r="H633" s="68"/>
      <c r="I633" s="68"/>
      <c r="J633" s="68"/>
      <c r="K633" s="68"/>
      <c r="L633" s="68"/>
      <c r="M633" s="68"/>
      <c r="N633" s="68"/>
      <c r="O633" s="68"/>
      <c r="P633" s="68"/>
      <c r="Q633" s="125"/>
      <c r="R633" s="68"/>
    </row>
    <row r="634" spans="1:18" ht="33.75" customHeight="1">
      <c r="A634" s="68"/>
      <c r="B634" s="68"/>
      <c r="C634" s="68"/>
      <c r="D634" s="68"/>
      <c r="E634" s="68"/>
      <c r="F634" s="68"/>
      <c r="G634" s="68"/>
      <c r="H634" s="68"/>
      <c r="I634" s="68"/>
      <c r="J634" s="68"/>
      <c r="K634" s="68"/>
      <c r="L634" s="68"/>
      <c r="M634" s="68"/>
      <c r="N634" s="68"/>
      <c r="O634" s="68"/>
      <c r="P634" s="68"/>
      <c r="Q634" s="125"/>
      <c r="R634" s="68"/>
    </row>
    <row r="635" spans="1:18" ht="33.75" customHeight="1">
      <c r="A635" s="68"/>
      <c r="B635" s="68"/>
      <c r="C635" s="68"/>
      <c r="D635" s="68"/>
      <c r="E635" s="68"/>
      <c r="F635" s="68"/>
      <c r="G635" s="68"/>
      <c r="H635" s="68"/>
      <c r="I635" s="68"/>
      <c r="J635" s="68"/>
      <c r="K635" s="68"/>
      <c r="L635" s="68"/>
      <c r="M635" s="68"/>
      <c r="N635" s="68"/>
      <c r="O635" s="68"/>
      <c r="P635" s="68"/>
      <c r="Q635" s="125"/>
      <c r="R635" s="68"/>
    </row>
    <row r="636" spans="1:18" ht="33.75" customHeight="1">
      <c r="A636" s="68"/>
      <c r="B636" s="68"/>
      <c r="C636" s="68"/>
      <c r="D636" s="68"/>
      <c r="E636" s="68"/>
      <c r="F636" s="68"/>
      <c r="G636" s="68"/>
      <c r="H636" s="68"/>
      <c r="I636" s="68"/>
      <c r="J636" s="68"/>
      <c r="K636" s="68"/>
      <c r="L636" s="68"/>
      <c r="M636" s="68"/>
      <c r="N636" s="68"/>
      <c r="O636" s="68"/>
      <c r="P636" s="68"/>
      <c r="Q636" s="125"/>
      <c r="R636" s="68"/>
    </row>
    <row r="637" spans="1:18" ht="33.75" customHeight="1">
      <c r="A637" s="68"/>
      <c r="B637" s="68"/>
      <c r="C637" s="68"/>
      <c r="D637" s="68"/>
      <c r="E637" s="68"/>
      <c r="F637" s="68"/>
      <c r="G637" s="68"/>
      <c r="H637" s="68"/>
      <c r="I637" s="68"/>
      <c r="J637" s="68"/>
      <c r="K637" s="68"/>
      <c r="L637" s="68"/>
      <c r="M637" s="68"/>
      <c r="N637" s="68"/>
      <c r="O637" s="68"/>
      <c r="P637" s="68"/>
      <c r="Q637" s="125"/>
      <c r="R637" s="68"/>
    </row>
    <row r="638" spans="1:18" ht="33.75" customHeight="1">
      <c r="A638" s="68"/>
      <c r="B638" s="68"/>
      <c r="C638" s="68"/>
      <c r="D638" s="68"/>
      <c r="E638" s="68"/>
      <c r="F638" s="68"/>
      <c r="G638" s="68"/>
      <c r="H638" s="68"/>
      <c r="I638" s="68"/>
      <c r="J638" s="68"/>
      <c r="K638" s="68"/>
      <c r="L638" s="68"/>
      <c r="M638" s="68"/>
      <c r="N638" s="68"/>
      <c r="O638" s="68"/>
      <c r="P638" s="68"/>
      <c r="Q638" s="125"/>
      <c r="R638" s="68"/>
    </row>
    <row r="639" spans="1:18" ht="33.75" customHeight="1">
      <c r="A639" s="68"/>
      <c r="B639" s="68"/>
      <c r="C639" s="68"/>
      <c r="D639" s="68"/>
      <c r="E639" s="68"/>
      <c r="F639" s="68"/>
      <c r="G639" s="68"/>
      <c r="H639" s="68"/>
      <c r="I639" s="68"/>
      <c r="J639" s="68"/>
      <c r="K639" s="68"/>
      <c r="L639" s="68"/>
      <c r="M639" s="68"/>
      <c r="N639" s="68"/>
      <c r="O639" s="68"/>
      <c r="P639" s="68"/>
      <c r="Q639" s="125"/>
      <c r="R639" s="68"/>
    </row>
    <row r="640" spans="1:18" ht="33.75" customHeight="1">
      <c r="A640" s="68"/>
      <c r="B640" s="68"/>
      <c r="C640" s="68"/>
      <c r="D640" s="68"/>
      <c r="E640" s="68"/>
      <c r="F640" s="68"/>
      <c r="G640" s="68"/>
      <c r="H640" s="68"/>
      <c r="I640" s="68"/>
      <c r="J640" s="68"/>
      <c r="K640" s="68"/>
      <c r="L640" s="68"/>
      <c r="M640" s="68"/>
      <c r="N640" s="68"/>
      <c r="O640" s="68"/>
      <c r="P640" s="68"/>
      <c r="Q640" s="125"/>
      <c r="R640" s="68"/>
    </row>
    <row r="641" spans="1:18" ht="33.75" customHeight="1">
      <c r="A641" s="68"/>
      <c r="B641" s="68"/>
      <c r="C641" s="68"/>
      <c r="D641" s="68"/>
      <c r="E641" s="68"/>
      <c r="F641" s="68"/>
      <c r="G641" s="68"/>
      <c r="H641" s="68"/>
      <c r="I641" s="68"/>
      <c r="J641" s="68"/>
      <c r="K641" s="68"/>
      <c r="L641" s="68"/>
      <c r="M641" s="68"/>
      <c r="N641" s="68"/>
      <c r="O641" s="68"/>
      <c r="P641" s="68"/>
      <c r="Q641" s="125"/>
      <c r="R641" s="68"/>
    </row>
    <row r="642" spans="1:18" ht="33.75" customHeight="1">
      <c r="A642" s="68"/>
      <c r="B642" s="68"/>
      <c r="C642" s="68"/>
      <c r="D642" s="68"/>
      <c r="E642" s="68"/>
      <c r="F642" s="68"/>
      <c r="G642" s="68"/>
      <c r="H642" s="68"/>
      <c r="I642" s="68"/>
      <c r="J642" s="68"/>
      <c r="K642" s="68"/>
      <c r="L642" s="68"/>
      <c r="M642" s="68"/>
      <c r="N642" s="68"/>
      <c r="O642" s="68"/>
      <c r="P642" s="68"/>
      <c r="Q642" s="125"/>
      <c r="R642" s="68"/>
    </row>
    <row r="643" spans="1:18" ht="33.75" customHeight="1">
      <c r="A643" s="68"/>
      <c r="B643" s="68"/>
      <c r="C643" s="68"/>
      <c r="D643" s="68"/>
      <c r="E643" s="68"/>
      <c r="F643" s="68"/>
      <c r="G643" s="68"/>
      <c r="H643" s="68"/>
      <c r="I643" s="68"/>
      <c r="J643" s="68"/>
      <c r="K643" s="68"/>
      <c r="L643" s="68"/>
      <c r="M643" s="68"/>
      <c r="N643" s="68"/>
      <c r="O643" s="68"/>
      <c r="P643" s="68"/>
      <c r="Q643" s="125"/>
      <c r="R643" s="68"/>
    </row>
    <row r="644" spans="1:18" ht="33.75" customHeight="1">
      <c r="A644" s="68"/>
      <c r="B644" s="68"/>
      <c r="C644" s="68"/>
      <c r="D644" s="68"/>
      <c r="E644" s="68"/>
      <c r="F644" s="68"/>
      <c r="G644" s="68"/>
      <c r="H644" s="68"/>
      <c r="I644" s="68"/>
      <c r="J644" s="68"/>
      <c r="K644" s="68"/>
      <c r="L644" s="68"/>
      <c r="M644" s="68"/>
      <c r="N644" s="68"/>
      <c r="O644" s="68"/>
      <c r="P644" s="68"/>
      <c r="Q644" s="125"/>
      <c r="R644" s="68"/>
    </row>
    <row r="645" spans="1:18" ht="33.75" customHeight="1">
      <c r="A645" s="68"/>
      <c r="B645" s="68"/>
      <c r="C645" s="68"/>
      <c r="D645" s="68"/>
      <c r="E645" s="68"/>
      <c r="F645" s="68"/>
      <c r="G645" s="68"/>
      <c r="H645" s="68"/>
      <c r="I645" s="68"/>
      <c r="J645" s="68"/>
      <c r="K645" s="68"/>
      <c r="L645" s="68"/>
      <c r="M645" s="68"/>
      <c r="N645" s="68"/>
      <c r="O645" s="68"/>
      <c r="P645" s="68"/>
      <c r="Q645" s="125"/>
      <c r="R645" s="68"/>
    </row>
    <row r="646" spans="1:18" ht="33.75" customHeight="1">
      <c r="A646" s="68"/>
      <c r="B646" s="68"/>
      <c r="C646" s="68"/>
      <c r="D646" s="68"/>
      <c r="E646" s="68"/>
      <c r="F646" s="68"/>
      <c r="G646" s="68"/>
      <c r="H646" s="68"/>
      <c r="I646" s="68"/>
      <c r="J646" s="68"/>
      <c r="K646" s="68"/>
      <c r="L646" s="68"/>
      <c r="M646" s="68"/>
      <c r="N646" s="68"/>
      <c r="O646" s="68"/>
      <c r="P646" s="68"/>
      <c r="Q646" s="125"/>
      <c r="R646" s="68"/>
    </row>
    <row r="647" spans="1:18" ht="33.75" customHeight="1">
      <c r="A647" s="68"/>
      <c r="B647" s="68"/>
      <c r="C647" s="68"/>
      <c r="D647" s="68"/>
      <c r="E647" s="68"/>
      <c r="F647" s="68"/>
      <c r="G647" s="68"/>
      <c r="H647" s="68"/>
      <c r="I647" s="68"/>
      <c r="J647" s="68"/>
      <c r="K647" s="68"/>
      <c r="L647" s="68"/>
      <c r="M647" s="68"/>
      <c r="N647" s="68"/>
      <c r="O647" s="68"/>
      <c r="P647" s="68"/>
      <c r="Q647" s="125"/>
      <c r="R647" s="68"/>
    </row>
    <row r="648" spans="1:18" ht="33.75" customHeight="1">
      <c r="A648" s="68"/>
      <c r="B648" s="68"/>
      <c r="C648" s="68"/>
      <c r="D648" s="68"/>
      <c r="E648" s="68"/>
      <c r="F648" s="68"/>
      <c r="G648" s="68"/>
      <c r="H648" s="68"/>
      <c r="I648" s="68"/>
      <c r="J648" s="68"/>
      <c r="K648" s="68"/>
      <c r="L648" s="68"/>
      <c r="M648" s="68"/>
      <c r="N648" s="68"/>
      <c r="O648" s="68"/>
      <c r="P648" s="68"/>
      <c r="Q648" s="125"/>
      <c r="R648" s="68"/>
    </row>
    <row r="649" spans="1:18" ht="33.75" customHeight="1">
      <c r="A649" s="68"/>
      <c r="B649" s="68"/>
      <c r="C649" s="68"/>
      <c r="D649" s="68"/>
      <c r="E649" s="68"/>
      <c r="F649" s="68"/>
      <c r="G649" s="68"/>
      <c r="H649" s="68"/>
      <c r="I649" s="68"/>
      <c r="J649" s="68"/>
      <c r="K649" s="68"/>
      <c r="L649" s="68"/>
      <c r="M649" s="68"/>
      <c r="N649" s="68"/>
      <c r="O649" s="68"/>
      <c r="P649" s="68"/>
      <c r="Q649" s="125"/>
      <c r="R649" s="68"/>
    </row>
    <row r="650" spans="1:18" ht="33.75" customHeight="1">
      <c r="A650" s="68"/>
      <c r="B650" s="68"/>
      <c r="C650" s="68"/>
      <c r="D650" s="68"/>
      <c r="E650" s="68"/>
      <c r="F650" s="68"/>
      <c r="G650" s="68"/>
      <c r="H650" s="68"/>
      <c r="I650" s="68"/>
      <c r="J650" s="68"/>
      <c r="K650" s="68"/>
      <c r="L650" s="68"/>
      <c r="M650" s="68"/>
      <c r="N650" s="68"/>
      <c r="O650" s="68"/>
      <c r="P650" s="68"/>
      <c r="Q650" s="125"/>
      <c r="R650" s="68"/>
    </row>
    <row r="651" spans="1:18" ht="33.75" customHeight="1">
      <c r="A651" s="68"/>
      <c r="B651" s="68"/>
      <c r="C651" s="68"/>
      <c r="D651" s="68"/>
      <c r="E651" s="68"/>
      <c r="F651" s="68"/>
      <c r="G651" s="68"/>
      <c r="H651" s="68"/>
      <c r="I651" s="68"/>
      <c r="J651" s="68"/>
      <c r="K651" s="68"/>
      <c r="L651" s="68"/>
      <c r="M651" s="68"/>
      <c r="N651" s="68"/>
      <c r="O651" s="68"/>
      <c r="P651" s="68"/>
      <c r="Q651" s="125"/>
      <c r="R651" s="68"/>
    </row>
    <row r="652" spans="1:18" ht="33.75" customHeight="1">
      <c r="A652" s="68"/>
      <c r="B652" s="68"/>
      <c r="C652" s="68"/>
      <c r="D652" s="68"/>
      <c r="E652" s="68"/>
      <c r="F652" s="68"/>
      <c r="G652" s="68"/>
      <c r="H652" s="68"/>
      <c r="I652" s="68"/>
      <c r="J652" s="68"/>
      <c r="K652" s="68"/>
      <c r="L652" s="68"/>
      <c r="M652" s="68"/>
      <c r="N652" s="68"/>
      <c r="O652" s="68"/>
      <c r="P652" s="68"/>
      <c r="Q652" s="125"/>
      <c r="R652" s="68"/>
    </row>
    <row r="653" spans="1:18" ht="33.75" customHeight="1">
      <c r="A653" s="68"/>
      <c r="B653" s="68"/>
      <c r="C653" s="68"/>
      <c r="D653" s="68"/>
      <c r="E653" s="68"/>
      <c r="F653" s="68"/>
      <c r="G653" s="68"/>
      <c r="H653" s="68"/>
      <c r="I653" s="68"/>
      <c r="J653" s="68"/>
      <c r="K653" s="68"/>
      <c r="L653" s="68"/>
      <c r="M653" s="68"/>
      <c r="N653" s="68"/>
      <c r="O653" s="68"/>
      <c r="P653" s="68"/>
      <c r="Q653" s="125"/>
      <c r="R653" s="68"/>
    </row>
    <row r="654" spans="1:18" ht="33.75" customHeight="1">
      <c r="A654" s="68"/>
      <c r="B654" s="68"/>
      <c r="C654" s="68"/>
      <c r="D654" s="68"/>
      <c r="E654" s="68"/>
      <c r="F654" s="68"/>
      <c r="G654" s="68"/>
      <c r="H654" s="68"/>
      <c r="I654" s="68"/>
      <c r="J654" s="68"/>
      <c r="K654" s="68"/>
      <c r="L654" s="68"/>
      <c r="M654" s="68"/>
      <c r="N654" s="68"/>
      <c r="O654" s="68"/>
      <c r="P654" s="68"/>
      <c r="Q654" s="125"/>
      <c r="R654" s="68"/>
    </row>
    <row r="655" spans="1:18" ht="33.75" customHeight="1">
      <c r="A655" s="68"/>
      <c r="B655" s="68"/>
      <c r="C655" s="68"/>
      <c r="D655" s="68"/>
      <c r="E655" s="68"/>
      <c r="F655" s="68"/>
      <c r="G655" s="68"/>
      <c r="H655" s="68"/>
      <c r="I655" s="68"/>
      <c r="J655" s="68"/>
      <c r="K655" s="68"/>
      <c r="L655" s="68"/>
      <c r="M655" s="68"/>
      <c r="N655" s="68"/>
      <c r="O655" s="68"/>
      <c r="P655" s="68"/>
      <c r="Q655" s="125"/>
      <c r="R655" s="68"/>
    </row>
    <row r="656" spans="1:18" ht="33.75" customHeight="1">
      <c r="A656" s="68"/>
      <c r="B656" s="68"/>
      <c r="C656" s="68"/>
      <c r="D656" s="68"/>
      <c r="E656" s="68"/>
      <c r="F656" s="68"/>
      <c r="G656" s="68"/>
      <c r="H656" s="68"/>
      <c r="I656" s="68"/>
      <c r="J656" s="68"/>
      <c r="K656" s="68"/>
      <c r="L656" s="68"/>
      <c r="M656" s="68"/>
      <c r="N656" s="68"/>
      <c r="O656" s="68"/>
      <c r="P656" s="68"/>
      <c r="Q656" s="125"/>
      <c r="R656" s="68"/>
    </row>
    <row r="657" spans="1:18" ht="33.75" customHeight="1">
      <c r="A657" s="68"/>
      <c r="B657" s="68"/>
      <c r="C657" s="68"/>
      <c r="D657" s="68"/>
      <c r="E657" s="68"/>
      <c r="F657" s="68"/>
      <c r="G657" s="68"/>
      <c r="H657" s="68"/>
      <c r="I657" s="68"/>
      <c r="J657" s="68"/>
      <c r="K657" s="68"/>
      <c r="L657" s="68"/>
      <c r="M657" s="68"/>
      <c r="N657" s="68"/>
      <c r="O657" s="68"/>
      <c r="P657" s="68"/>
      <c r="Q657" s="125"/>
      <c r="R657" s="68"/>
    </row>
    <row r="658" spans="1:18" ht="33.75" customHeight="1">
      <c r="A658" s="68"/>
      <c r="B658" s="68"/>
      <c r="C658" s="68"/>
      <c r="D658" s="68"/>
      <c r="E658" s="68"/>
      <c r="F658" s="68"/>
      <c r="G658" s="68"/>
      <c r="H658" s="68"/>
      <c r="I658" s="68"/>
      <c r="J658" s="68"/>
      <c r="K658" s="68"/>
      <c r="L658" s="68"/>
      <c r="M658" s="68"/>
      <c r="N658" s="68"/>
      <c r="O658" s="68"/>
      <c r="P658" s="68"/>
      <c r="Q658" s="125"/>
      <c r="R658" s="68"/>
    </row>
    <row r="659" spans="1:18" ht="33.75" customHeight="1">
      <c r="A659" s="68"/>
      <c r="B659" s="68"/>
      <c r="C659" s="68"/>
      <c r="D659" s="68"/>
      <c r="E659" s="68"/>
      <c r="F659" s="68"/>
      <c r="G659" s="68"/>
      <c r="H659" s="68"/>
      <c r="I659" s="68"/>
      <c r="J659" s="68"/>
      <c r="K659" s="68"/>
      <c r="L659" s="68"/>
      <c r="M659" s="68"/>
      <c r="N659" s="68"/>
      <c r="O659" s="68"/>
      <c r="P659" s="68"/>
      <c r="Q659" s="125"/>
      <c r="R659" s="68"/>
    </row>
    <row r="660" spans="1:18" ht="33.75" customHeight="1">
      <c r="A660" s="68"/>
      <c r="B660" s="68"/>
      <c r="C660" s="68"/>
      <c r="D660" s="68"/>
      <c r="E660" s="68"/>
      <c r="F660" s="68"/>
      <c r="G660" s="68"/>
      <c r="H660" s="68"/>
      <c r="I660" s="68"/>
      <c r="J660" s="68"/>
      <c r="K660" s="68"/>
      <c r="L660" s="68"/>
      <c r="M660" s="68"/>
      <c r="N660" s="68"/>
      <c r="O660" s="68"/>
      <c r="P660" s="68"/>
      <c r="Q660" s="125"/>
      <c r="R660" s="68"/>
    </row>
    <row r="661" spans="1:18" ht="33.75" customHeight="1">
      <c r="A661" s="68"/>
      <c r="B661" s="68"/>
      <c r="C661" s="68"/>
      <c r="D661" s="68"/>
      <c r="E661" s="68"/>
      <c r="F661" s="68"/>
      <c r="G661" s="68"/>
      <c r="H661" s="68"/>
      <c r="I661" s="68"/>
      <c r="J661" s="68"/>
      <c r="K661" s="68"/>
      <c r="L661" s="68"/>
      <c r="M661" s="68"/>
      <c r="N661" s="68"/>
      <c r="O661" s="68"/>
      <c r="P661" s="68"/>
      <c r="Q661" s="125"/>
      <c r="R661" s="68"/>
    </row>
    <row r="662" spans="1:18" ht="33.75" customHeight="1">
      <c r="A662" s="68"/>
      <c r="B662" s="68"/>
      <c r="C662" s="68"/>
      <c r="D662" s="68"/>
      <c r="E662" s="68"/>
      <c r="F662" s="68"/>
      <c r="G662" s="68"/>
      <c r="H662" s="68"/>
      <c r="I662" s="68"/>
      <c r="J662" s="68"/>
      <c r="K662" s="68"/>
      <c r="L662" s="68"/>
      <c r="M662" s="68"/>
      <c r="N662" s="68"/>
      <c r="O662" s="68"/>
      <c r="P662" s="68"/>
      <c r="Q662" s="125"/>
      <c r="R662" s="68"/>
    </row>
    <row r="663" spans="1:18" ht="33.75" customHeight="1">
      <c r="A663" s="68"/>
      <c r="B663" s="68"/>
      <c r="C663" s="68"/>
      <c r="D663" s="68"/>
      <c r="E663" s="68"/>
      <c r="F663" s="68"/>
      <c r="G663" s="68"/>
      <c r="H663" s="68"/>
      <c r="I663" s="68"/>
      <c r="J663" s="68"/>
      <c r="K663" s="68"/>
      <c r="L663" s="68"/>
      <c r="M663" s="68"/>
      <c r="N663" s="68"/>
      <c r="O663" s="68"/>
      <c r="P663" s="68"/>
      <c r="Q663" s="125"/>
      <c r="R663" s="68"/>
    </row>
    <row r="664" spans="1:18" ht="33.75" customHeight="1">
      <c r="A664" s="68"/>
      <c r="B664" s="68"/>
      <c r="C664" s="68"/>
      <c r="D664" s="68"/>
      <c r="E664" s="68"/>
      <c r="F664" s="68"/>
      <c r="G664" s="68"/>
      <c r="H664" s="68"/>
      <c r="I664" s="68"/>
      <c r="J664" s="68"/>
      <c r="K664" s="68"/>
      <c r="L664" s="68"/>
      <c r="M664" s="68"/>
      <c r="N664" s="68"/>
      <c r="O664" s="68"/>
      <c r="P664" s="68"/>
      <c r="Q664" s="125"/>
      <c r="R664" s="68"/>
    </row>
    <row r="665" spans="1:18" ht="33.75" customHeight="1">
      <c r="A665" s="68"/>
      <c r="B665" s="68"/>
      <c r="C665" s="68"/>
      <c r="D665" s="68"/>
      <c r="E665" s="68"/>
      <c r="F665" s="68"/>
      <c r="G665" s="68"/>
      <c r="H665" s="68"/>
      <c r="I665" s="68"/>
      <c r="J665" s="68"/>
      <c r="K665" s="68"/>
      <c r="L665" s="68"/>
      <c r="M665" s="68"/>
      <c r="N665" s="68"/>
      <c r="O665" s="68"/>
      <c r="P665" s="68"/>
      <c r="Q665" s="125"/>
      <c r="R665" s="68"/>
    </row>
    <row r="666" spans="1:18" ht="33.75" customHeight="1">
      <c r="A666" s="68"/>
      <c r="B666" s="68"/>
      <c r="C666" s="68"/>
      <c r="D666" s="68"/>
      <c r="E666" s="68"/>
      <c r="F666" s="68"/>
      <c r="G666" s="68"/>
      <c r="H666" s="68"/>
      <c r="I666" s="68"/>
      <c r="J666" s="68"/>
      <c r="K666" s="68"/>
      <c r="L666" s="68"/>
      <c r="M666" s="68"/>
      <c r="N666" s="68"/>
      <c r="O666" s="68"/>
      <c r="P666" s="68"/>
      <c r="Q666" s="125"/>
      <c r="R666" s="68"/>
    </row>
    <row r="667" spans="1:18" ht="33.75" customHeight="1">
      <c r="A667" s="68"/>
      <c r="B667" s="68"/>
      <c r="C667" s="68"/>
      <c r="D667" s="68"/>
      <c r="E667" s="68"/>
      <c r="F667" s="68"/>
      <c r="G667" s="68"/>
      <c r="H667" s="68"/>
      <c r="I667" s="68"/>
      <c r="J667" s="68"/>
      <c r="K667" s="68"/>
      <c r="L667" s="68"/>
      <c r="M667" s="68"/>
      <c r="N667" s="68"/>
      <c r="O667" s="68"/>
      <c r="P667" s="68"/>
      <c r="Q667" s="125"/>
      <c r="R667" s="68"/>
    </row>
    <row r="668" spans="1:18" ht="33.75" customHeight="1">
      <c r="A668" s="68"/>
      <c r="B668" s="68"/>
      <c r="C668" s="68"/>
      <c r="D668" s="68"/>
      <c r="E668" s="68"/>
      <c r="F668" s="68"/>
      <c r="G668" s="68"/>
      <c r="H668" s="68"/>
      <c r="I668" s="68"/>
      <c r="J668" s="68"/>
      <c r="K668" s="68"/>
      <c r="L668" s="68"/>
      <c r="M668" s="68"/>
      <c r="N668" s="68"/>
      <c r="O668" s="68"/>
      <c r="P668" s="68"/>
      <c r="Q668" s="125"/>
      <c r="R668" s="68"/>
    </row>
    <row r="669" spans="1:18" ht="33.75" customHeight="1">
      <c r="A669" s="68"/>
      <c r="B669" s="68"/>
      <c r="C669" s="68"/>
      <c r="D669" s="68"/>
      <c r="E669" s="68"/>
      <c r="F669" s="68"/>
      <c r="G669" s="68"/>
      <c r="H669" s="68"/>
      <c r="I669" s="68"/>
      <c r="J669" s="68"/>
      <c r="K669" s="68"/>
      <c r="L669" s="68"/>
      <c r="M669" s="68"/>
      <c r="N669" s="68"/>
      <c r="O669" s="68"/>
      <c r="P669" s="68"/>
      <c r="Q669" s="125"/>
      <c r="R669" s="68"/>
    </row>
    <row r="670" spans="1:18" ht="33.75" customHeight="1">
      <c r="A670" s="68"/>
      <c r="B670" s="68"/>
      <c r="C670" s="68"/>
      <c r="D670" s="68"/>
      <c r="E670" s="68"/>
      <c r="F670" s="68"/>
      <c r="G670" s="68"/>
      <c r="H670" s="68"/>
      <c r="I670" s="68"/>
      <c r="J670" s="68"/>
      <c r="K670" s="68"/>
      <c r="L670" s="68"/>
      <c r="M670" s="68"/>
      <c r="N670" s="68"/>
      <c r="O670" s="68"/>
      <c r="P670" s="68"/>
      <c r="Q670" s="125"/>
      <c r="R670" s="68"/>
    </row>
    <row r="671" spans="1:18" ht="33.75" customHeight="1">
      <c r="A671" s="68"/>
      <c r="B671" s="68"/>
      <c r="C671" s="68"/>
      <c r="D671" s="68"/>
      <c r="E671" s="68"/>
      <c r="F671" s="68"/>
      <c r="G671" s="68"/>
      <c r="H671" s="68"/>
      <c r="I671" s="68"/>
      <c r="J671" s="68"/>
      <c r="K671" s="68"/>
      <c r="L671" s="68"/>
      <c r="M671" s="68"/>
      <c r="N671" s="68"/>
      <c r="O671" s="68"/>
      <c r="P671" s="68"/>
      <c r="Q671" s="125"/>
      <c r="R671" s="68"/>
    </row>
    <row r="672" spans="1:18" ht="33.75" customHeight="1">
      <c r="A672" s="68"/>
      <c r="B672" s="68"/>
      <c r="C672" s="68"/>
      <c r="D672" s="68"/>
      <c r="E672" s="68"/>
      <c r="F672" s="68"/>
      <c r="G672" s="68"/>
      <c r="H672" s="68"/>
      <c r="I672" s="68"/>
      <c r="J672" s="68"/>
      <c r="K672" s="68"/>
      <c r="L672" s="68"/>
      <c r="M672" s="68"/>
      <c r="N672" s="68"/>
      <c r="O672" s="68"/>
      <c r="P672" s="68"/>
      <c r="Q672" s="125"/>
      <c r="R672" s="68"/>
    </row>
    <row r="673" spans="1:18" ht="33.75" customHeight="1">
      <c r="A673" s="68"/>
      <c r="B673" s="68"/>
      <c r="C673" s="68"/>
      <c r="D673" s="68"/>
      <c r="E673" s="68"/>
      <c r="F673" s="68"/>
      <c r="G673" s="68"/>
      <c r="H673" s="68"/>
      <c r="I673" s="68"/>
      <c r="J673" s="68"/>
      <c r="K673" s="68"/>
      <c r="L673" s="68"/>
      <c r="M673" s="68"/>
      <c r="N673" s="68"/>
      <c r="O673" s="68"/>
      <c r="P673" s="68"/>
      <c r="Q673" s="125"/>
      <c r="R673" s="68"/>
    </row>
    <row r="674" spans="1:18" ht="33.75" customHeight="1">
      <c r="A674" s="68"/>
      <c r="B674" s="68"/>
      <c r="C674" s="68"/>
      <c r="D674" s="68"/>
      <c r="E674" s="68"/>
      <c r="F674" s="68"/>
      <c r="G674" s="68"/>
      <c r="H674" s="68"/>
      <c r="I674" s="68"/>
      <c r="J674" s="68"/>
      <c r="K674" s="68"/>
      <c r="L674" s="68"/>
      <c r="M674" s="68"/>
      <c r="N674" s="68"/>
      <c r="O674" s="68"/>
      <c r="P674" s="68"/>
      <c r="Q674" s="125"/>
      <c r="R674" s="68"/>
    </row>
    <row r="675" spans="1:18" ht="33.75" customHeight="1">
      <c r="A675" s="68"/>
      <c r="B675" s="68"/>
      <c r="C675" s="68"/>
      <c r="D675" s="68"/>
      <c r="E675" s="68"/>
      <c r="F675" s="68"/>
      <c r="G675" s="68"/>
      <c r="H675" s="68"/>
      <c r="I675" s="68"/>
      <c r="J675" s="68"/>
      <c r="K675" s="68"/>
      <c r="L675" s="68"/>
      <c r="M675" s="68"/>
      <c r="N675" s="68"/>
      <c r="O675" s="68"/>
      <c r="P675" s="68"/>
      <c r="Q675" s="125"/>
      <c r="R675" s="68"/>
    </row>
    <row r="676" spans="1:18" ht="33.75" customHeight="1">
      <c r="A676" s="68"/>
      <c r="B676" s="68"/>
      <c r="C676" s="68"/>
      <c r="D676" s="68"/>
      <c r="E676" s="68"/>
      <c r="F676" s="68"/>
      <c r="G676" s="68"/>
      <c r="H676" s="68"/>
      <c r="I676" s="68"/>
      <c r="J676" s="68"/>
      <c r="K676" s="68"/>
      <c r="L676" s="68"/>
      <c r="M676" s="68"/>
      <c r="N676" s="68"/>
      <c r="O676" s="68"/>
      <c r="P676" s="68"/>
      <c r="Q676" s="125"/>
      <c r="R676" s="68"/>
    </row>
    <row r="677" spans="1:18" ht="33.75" customHeight="1">
      <c r="A677" s="68"/>
      <c r="B677" s="68"/>
      <c r="C677" s="68"/>
      <c r="D677" s="68"/>
      <c r="E677" s="68"/>
      <c r="F677" s="68"/>
      <c r="G677" s="68"/>
      <c r="H677" s="68"/>
      <c r="I677" s="68"/>
      <c r="J677" s="68"/>
      <c r="K677" s="68"/>
      <c r="L677" s="68"/>
      <c r="M677" s="68"/>
      <c r="N677" s="68"/>
      <c r="O677" s="68"/>
      <c r="P677" s="68"/>
      <c r="Q677" s="125"/>
      <c r="R677" s="68"/>
    </row>
    <row r="678" spans="1:18" ht="33.75" customHeight="1">
      <c r="A678" s="68"/>
      <c r="B678" s="68"/>
      <c r="C678" s="68"/>
      <c r="D678" s="68"/>
      <c r="E678" s="68"/>
      <c r="F678" s="68"/>
      <c r="G678" s="68"/>
      <c r="H678" s="68"/>
      <c r="I678" s="68"/>
      <c r="J678" s="68"/>
      <c r="K678" s="68"/>
      <c r="L678" s="68"/>
      <c r="M678" s="68"/>
      <c r="N678" s="68"/>
      <c r="O678" s="68"/>
      <c r="P678" s="68"/>
      <c r="Q678" s="125"/>
      <c r="R678" s="68"/>
    </row>
    <row r="679" spans="1:18" ht="33.75" customHeight="1">
      <c r="A679" s="68"/>
      <c r="B679" s="68"/>
      <c r="C679" s="68"/>
      <c r="D679" s="68"/>
      <c r="E679" s="68"/>
      <c r="F679" s="68"/>
      <c r="G679" s="68"/>
      <c r="H679" s="68"/>
      <c r="I679" s="68"/>
      <c r="J679" s="68"/>
      <c r="K679" s="68"/>
      <c r="L679" s="68"/>
      <c r="M679" s="68"/>
      <c r="N679" s="68"/>
      <c r="O679" s="68"/>
      <c r="P679" s="68"/>
      <c r="Q679" s="125"/>
      <c r="R679" s="68"/>
    </row>
    <row r="680" spans="1:18" ht="33.75" customHeight="1">
      <c r="A680" s="68"/>
      <c r="B680" s="68"/>
      <c r="C680" s="68"/>
      <c r="D680" s="68"/>
      <c r="E680" s="68"/>
      <c r="F680" s="68"/>
      <c r="G680" s="68"/>
      <c r="H680" s="68"/>
      <c r="I680" s="68"/>
      <c r="J680" s="68"/>
      <c r="K680" s="68"/>
      <c r="L680" s="68"/>
      <c r="M680" s="68"/>
      <c r="N680" s="68"/>
      <c r="O680" s="68"/>
      <c r="P680" s="68"/>
      <c r="Q680" s="125"/>
      <c r="R680" s="68"/>
    </row>
    <row r="681" spans="1:18" ht="33.75" customHeight="1">
      <c r="A681" s="68"/>
      <c r="B681" s="68"/>
      <c r="C681" s="68"/>
      <c r="D681" s="68"/>
      <c r="E681" s="68"/>
      <c r="F681" s="68"/>
      <c r="G681" s="68"/>
      <c r="H681" s="68"/>
      <c r="I681" s="68"/>
      <c r="J681" s="68"/>
      <c r="K681" s="68"/>
      <c r="L681" s="68"/>
      <c r="M681" s="68"/>
      <c r="N681" s="68"/>
      <c r="O681" s="68"/>
      <c r="P681" s="68"/>
      <c r="Q681" s="125"/>
      <c r="R681" s="68"/>
    </row>
    <row r="682" spans="1:18" ht="33.75" customHeight="1">
      <c r="A682" s="68"/>
      <c r="B682" s="68"/>
      <c r="C682" s="68"/>
      <c r="D682" s="68"/>
      <c r="E682" s="68"/>
      <c r="F682" s="68"/>
      <c r="G682" s="68"/>
      <c r="H682" s="68"/>
      <c r="I682" s="68"/>
      <c r="J682" s="68"/>
      <c r="K682" s="68"/>
      <c r="L682" s="68"/>
      <c r="M682" s="68"/>
      <c r="N682" s="68"/>
      <c r="O682" s="68"/>
      <c r="P682" s="68"/>
      <c r="Q682" s="125"/>
      <c r="R682" s="68"/>
    </row>
    <row r="683" spans="1:18" ht="33.75" customHeight="1">
      <c r="A683" s="68"/>
      <c r="B683" s="68"/>
      <c r="C683" s="68"/>
      <c r="D683" s="68"/>
      <c r="E683" s="68"/>
      <c r="F683" s="68"/>
      <c r="G683" s="68"/>
      <c r="H683" s="68"/>
      <c r="I683" s="68"/>
      <c r="J683" s="68"/>
      <c r="K683" s="68"/>
      <c r="L683" s="68"/>
      <c r="M683" s="68"/>
      <c r="N683" s="68"/>
      <c r="O683" s="68"/>
      <c r="P683" s="68"/>
      <c r="Q683" s="125"/>
      <c r="R683" s="68"/>
    </row>
    <row r="684" spans="1:18" ht="33.75" customHeight="1">
      <c r="A684" s="68"/>
      <c r="B684" s="68"/>
      <c r="C684" s="68"/>
      <c r="D684" s="68"/>
      <c r="E684" s="68"/>
      <c r="F684" s="68"/>
      <c r="G684" s="68"/>
      <c r="H684" s="68"/>
      <c r="I684" s="68"/>
      <c r="J684" s="68"/>
      <c r="K684" s="68"/>
      <c r="L684" s="68"/>
      <c r="M684" s="68"/>
      <c r="N684" s="68"/>
      <c r="O684" s="68"/>
      <c r="P684" s="68"/>
      <c r="Q684" s="125"/>
      <c r="R684" s="68"/>
    </row>
    <row r="685" spans="1:18" ht="33.75" customHeight="1">
      <c r="A685" s="68"/>
      <c r="B685" s="68"/>
      <c r="C685" s="68"/>
      <c r="D685" s="68"/>
      <c r="E685" s="68"/>
      <c r="F685" s="68"/>
      <c r="G685" s="68"/>
      <c r="H685" s="68"/>
      <c r="I685" s="68"/>
      <c r="J685" s="68"/>
      <c r="K685" s="68"/>
      <c r="L685" s="68"/>
      <c r="M685" s="68"/>
      <c r="N685" s="68"/>
      <c r="O685" s="68"/>
      <c r="P685" s="68"/>
      <c r="Q685" s="125"/>
      <c r="R685" s="68"/>
    </row>
    <row r="686" spans="1:18" ht="33.75" customHeight="1">
      <c r="A686" s="68"/>
      <c r="B686" s="68"/>
      <c r="C686" s="68"/>
      <c r="D686" s="68"/>
      <c r="E686" s="68"/>
      <c r="F686" s="68"/>
      <c r="G686" s="68"/>
      <c r="H686" s="68"/>
      <c r="I686" s="68"/>
      <c r="J686" s="68"/>
      <c r="K686" s="68"/>
      <c r="L686" s="68"/>
      <c r="M686" s="68"/>
      <c r="N686" s="68"/>
      <c r="O686" s="68"/>
      <c r="P686" s="68"/>
      <c r="Q686" s="125"/>
      <c r="R686" s="68"/>
    </row>
    <row r="687" spans="1:18" ht="33.75" customHeight="1">
      <c r="A687" s="68"/>
      <c r="B687" s="68"/>
      <c r="C687" s="68"/>
      <c r="D687" s="68"/>
      <c r="E687" s="68"/>
      <c r="F687" s="68"/>
      <c r="G687" s="68"/>
      <c r="H687" s="68"/>
      <c r="I687" s="68"/>
      <c r="J687" s="68"/>
      <c r="K687" s="68"/>
      <c r="L687" s="68"/>
      <c r="M687" s="68"/>
      <c r="N687" s="68"/>
      <c r="O687" s="68"/>
      <c r="P687" s="68"/>
      <c r="Q687" s="125"/>
      <c r="R687" s="68"/>
    </row>
    <row r="688" spans="1:18" ht="33.75" customHeight="1">
      <c r="A688" s="68"/>
      <c r="B688" s="68"/>
      <c r="C688" s="68"/>
      <c r="D688" s="68"/>
      <c r="E688" s="68"/>
      <c r="F688" s="68"/>
      <c r="G688" s="68"/>
      <c r="H688" s="68"/>
      <c r="I688" s="68"/>
      <c r="J688" s="68"/>
      <c r="K688" s="68"/>
      <c r="L688" s="68"/>
      <c r="M688" s="68"/>
      <c r="N688" s="68"/>
      <c r="O688" s="68"/>
      <c r="P688" s="68"/>
      <c r="Q688" s="125"/>
      <c r="R688" s="68"/>
    </row>
    <row r="689" spans="1:18" ht="33.75" customHeight="1">
      <c r="A689" s="68"/>
      <c r="B689" s="68"/>
      <c r="C689" s="68"/>
      <c r="D689" s="68"/>
      <c r="E689" s="68"/>
      <c r="F689" s="68"/>
      <c r="G689" s="68"/>
      <c r="H689" s="68"/>
      <c r="I689" s="68"/>
      <c r="J689" s="68"/>
      <c r="K689" s="68"/>
      <c r="L689" s="68"/>
      <c r="M689" s="68"/>
      <c r="N689" s="68"/>
      <c r="O689" s="68"/>
      <c r="P689" s="68"/>
      <c r="Q689" s="125"/>
      <c r="R689" s="68"/>
    </row>
    <row r="690" spans="1:18" ht="33.75" customHeight="1">
      <c r="A690" s="68"/>
      <c r="B690" s="68"/>
      <c r="C690" s="68"/>
      <c r="D690" s="68"/>
      <c r="E690" s="68"/>
      <c r="F690" s="68"/>
      <c r="G690" s="68"/>
      <c r="H690" s="68"/>
      <c r="I690" s="68"/>
      <c r="J690" s="68"/>
      <c r="K690" s="68"/>
      <c r="L690" s="68"/>
      <c r="M690" s="68"/>
      <c r="N690" s="68"/>
      <c r="O690" s="68"/>
      <c r="P690" s="68"/>
      <c r="Q690" s="125"/>
      <c r="R690" s="68"/>
    </row>
    <row r="691" spans="1:18" ht="33.75" customHeight="1">
      <c r="A691" s="68"/>
      <c r="B691" s="68"/>
      <c r="C691" s="68"/>
      <c r="D691" s="68"/>
      <c r="E691" s="68"/>
      <c r="F691" s="68"/>
      <c r="G691" s="68"/>
      <c r="H691" s="68"/>
      <c r="I691" s="68"/>
      <c r="J691" s="68"/>
      <c r="K691" s="68"/>
      <c r="L691" s="68"/>
      <c r="M691" s="68"/>
      <c r="N691" s="68"/>
      <c r="O691" s="68"/>
      <c r="P691" s="68"/>
      <c r="Q691" s="125"/>
      <c r="R691" s="68"/>
    </row>
    <row r="692" spans="1:18" ht="33.75" customHeight="1">
      <c r="A692" s="68"/>
      <c r="B692" s="68"/>
      <c r="C692" s="68"/>
      <c r="D692" s="68"/>
      <c r="E692" s="68"/>
      <c r="F692" s="68"/>
      <c r="G692" s="68"/>
      <c r="H692" s="68"/>
      <c r="I692" s="68"/>
      <c r="J692" s="68"/>
      <c r="K692" s="68"/>
      <c r="L692" s="68"/>
      <c r="M692" s="68"/>
      <c r="N692" s="68"/>
      <c r="O692" s="68"/>
      <c r="P692" s="68"/>
      <c r="Q692" s="125"/>
      <c r="R692" s="68"/>
    </row>
    <row r="693" spans="1:18" ht="33.75" customHeight="1">
      <c r="A693" s="68"/>
      <c r="B693" s="68"/>
      <c r="C693" s="68"/>
      <c r="D693" s="68"/>
      <c r="E693" s="68"/>
      <c r="F693" s="68"/>
      <c r="G693" s="68"/>
      <c r="H693" s="68"/>
      <c r="I693" s="68"/>
      <c r="J693" s="68"/>
      <c r="K693" s="68"/>
      <c r="L693" s="68"/>
      <c r="M693" s="68"/>
      <c r="N693" s="68"/>
      <c r="O693" s="68"/>
      <c r="P693" s="68"/>
      <c r="Q693" s="125"/>
      <c r="R693" s="68"/>
    </row>
    <row r="694" spans="1:18" ht="33.75" customHeight="1">
      <c r="A694" s="68"/>
      <c r="B694" s="68"/>
      <c r="C694" s="68"/>
      <c r="D694" s="68"/>
      <c r="E694" s="68"/>
      <c r="F694" s="68"/>
      <c r="G694" s="68"/>
      <c r="H694" s="68"/>
      <c r="I694" s="68"/>
      <c r="J694" s="68"/>
      <c r="K694" s="68"/>
      <c r="L694" s="68"/>
      <c r="M694" s="68"/>
      <c r="N694" s="68"/>
      <c r="O694" s="68"/>
      <c r="P694" s="68"/>
      <c r="Q694" s="125"/>
      <c r="R694" s="68"/>
    </row>
    <row r="695" spans="1:18" ht="33.75" customHeight="1">
      <c r="A695" s="68"/>
      <c r="B695" s="68"/>
      <c r="C695" s="68"/>
      <c r="D695" s="68"/>
      <c r="E695" s="68"/>
      <c r="F695" s="68"/>
      <c r="G695" s="68"/>
      <c r="H695" s="68"/>
      <c r="I695" s="68"/>
      <c r="J695" s="68"/>
      <c r="K695" s="68"/>
      <c r="L695" s="68"/>
      <c r="M695" s="68"/>
      <c r="N695" s="68"/>
      <c r="O695" s="68"/>
      <c r="P695" s="68"/>
      <c r="Q695" s="125"/>
      <c r="R695" s="68"/>
    </row>
    <row r="696" spans="1:18" ht="33.75" customHeight="1">
      <c r="A696" s="68"/>
      <c r="B696" s="68"/>
      <c r="C696" s="68"/>
      <c r="D696" s="68"/>
      <c r="E696" s="68"/>
      <c r="F696" s="68"/>
      <c r="G696" s="68"/>
      <c r="H696" s="68"/>
      <c r="I696" s="68"/>
      <c r="J696" s="68"/>
      <c r="K696" s="68"/>
      <c r="L696" s="68"/>
      <c r="M696" s="68"/>
      <c r="N696" s="68"/>
      <c r="O696" s="68"/>
      <c r="P696" s="68"/>
      <c r="Q696" s="125"/>
      <c r="R696" s="68"/>
    </row>
    <row r="697" spans="1:18" ht="33.75" customHeight="1">
      <c r="A697" s="68"/>
      <c r="B697" s="68"/>
      <c r="C697" s="68"/>
      <c r="D697" s="68"/>
      <c r="E697" s="68"/>
      <c r="F697" s="68"/>
      <c r="G697" s="68"/>
      <c r="H697" s="68"/>
      <c r="I697" s="68"/>
      <c r="J697" s="68"/>
      <c r="K697" s="68"/>
      <c r="L697" s="68"/>
      <c r="M697" s="68"/>
      <c r="N697" s="68"/>
      <c r="O697" s="68"/>
      <c r="P697" s="68"/>
      <c r="Q697" s="125"/>
      <c r="R697" s="68"/>
    </row>
    <row r="698" spans="1:18" ht="33.75" customHeight="1">
      <c r="A698" s="68"/>
      <c r="B698" s="68"/>
      <c r="C698" s="68"/>
      <c r="D698" s="68"/>
      <c r="E698" s="68"/>
      <c r="F698" s="68"/>
      <c r="G698" s="68"/>
      <c r="H698" s="68"/>
      <c r="I698" s="68"/>
      <c r="J698" s="68"/>
      <c r="K698" s="68"/>
      <c r="L698" s="68"/>
      <c r="M698" s="68"/>
      <c r="N698" s="68"/>
      <c r="O698" s="68"/>
      <c r="P698" s="68"/>
      <c r="Q698" s="125"/>
      <c r="R698" s="68"/>
    </row>
    <row r="699" spans="1:18" ht="33.75" customHeight="1">
      <c r="A699" s="68"/>
      <c r="B699" s="68"/>
      <c r="C699" s="68"/>
      <c r="D699" s="68"/>
      <c r="E699" s="68"/>
      <c r="F699" s="68"/>
      <c r="G699" s="68"/>
      <c r="H699" s="68"/>
      <c r="I699" s="68"/>
      <c r="J699" s="68"/>
      <c r="K699" s="68"/>
      <c r="L699" s="68"/>
      <c r="M699" s="68"/>
      <c r="N699" s="68"/>
      <c r="O699" s="68"/>
      <c r="P699" s="68"/>
      <c r="Q699" s="125"/>
      <c r="R699" s="68"/>
    </row>
    <row r="700" spans="1:18" ht="33.75" customHeight="1">
      <c r="A700" s="68"/>
      <c r="B700" s="68"/>
      <c r="C700" s="68"/>
      <c r="D700" s="68"/>
      <c r="E700" s="68"/>
      <c r="F700" s="68"/>
      <c r="G700" s="68"/>
      <c r="H700" s="68"/>
      <c r="I700" s="68"/>
      <c r="J700" s="68"/>
      <c r="K700" s="68"/>
      <c r="L700" s="68"/>
      <c r="M700" s="68"/>
      <c r="N700" s="68"/>
      <c r="O700" s="68"/>
      <c r="P700" s="68"/>
      <c r="Q700" s="125"/>
      <c r="R700" s="68"/>
    </row>
    <row r="701" spans="1:18" ht="33.75" customHeight="1">
      <c r="A701" s="68"/>
      <c r="B701" s="68"/>
      <c r="C701" s="68"/>
      <c r="D701" s="68"/>
      <c r="E701" s="68"/>
      <c r="F701" s="68"/>
      <c r="G701" s="68"/>
      <c r="H701" s="68"/>
      <c r="I701" s="68"/>
      <c r="J701" s="68"/>
      <c r="K701" s="68"/>
      <c r="L701" s="68"/>
      <c r="M701" s="68"/>
      <c r="N701" s="68"/>
      <c r="O701" s="68"/>
      <c r="P701" s="68"/>
      <c r="Q701" s="125"/>
      <c r="R701" s="68"/>
    </row>
    <row r="702" spans="1:18" ht="33.75" customHeight="1">
      <c r="A702" s="68"/>
      <c r="B702" s="68"/>
      <c r="C702" s="68"/>
      <c r="D702" s="68"/>
      <c r="E702" s="68"/>
      <c r="F702" s="68"/>
      <c r="G702" s="68"/>
      <c r="H702" s="68"/>
      <c r="I702" s="68"/>
      <c r="J702" s="68"/>
      <c r="K702" s="68"/>
      <c r="L702" s="68"/>
      <c r="M702" s="68"/>
      <c r="N702" s="68"/>
      <c r="O702" s="68"/>
      <c r="P702" s="68"/>
      <c r="Q702" s="125"/>
      <c r="R702" s="68"/>
    </row>
    <row r="703" spans="1:18" ht="33.75" customHeight="1">
      <c r="A703" s="68"/>
      <c r="B703" s="68"/>
      <c r="C703" s="68"/>
      <c r="D703" s="68"/>
      <c r="E703" s="68"/>
      <c r="F703" s="68"/>
      <c r="G703" s="68"/>
      <c r="H703" s="68"/>
      <c r="I703" s="68"/>
      <c r="J703" s="68"/>
      <c r="K703" s="68"/>
      <c r="L703" s="68"/>
      <c r="M703" s="68"/>
      <c r="N703" s="68"/>
      <c r="O703" s="68"/>
      <c r="P703" s="68"/>
      <c r="Q703" s="125"/>
      <c r="R703" s="68"/>
    </row>
    <row r="704" spans="1:18" ht="33.75" customHeight="1">
      <c r="A704" s="68"/>
      <c r="B704" s="68"/>
      <c r="C704" s="68"/>
      <c r="D704" s="68"/>
      <c r="E704" s="68"/>
      <c r="F704" s="68"/>
      <c r="G704" s="68"/>
      <c r="H704" s="68"/>
      <c r="I704" s="68"/>
      <c r="J704" s="68"/>
      <c r="K704" s="68"/>
      <c r="L704" s="68"/>
      <c r="M704" s="68"/>
      <c r="N704" s="68"/>
      <c r="O704" s="68"/>
      <c r="P704" s="68"/>
      <c r="Q704" s="125"/>
      <c r="R704" s="68"/>
    </row>
    <row r="705" spans="1:18" ht="33.75" customHeight="1">
      <c r="A705" s="68"/>
      <c r="B705" s="68"/>
      <c r="C705" s="68"/>
      <c r="D705" s="68"/>
      <c r="E705" s="68"/>
      <c r="F705" s="68"/>
      <c r="G705" s="68"/>
      <c r="H705" s="68"/>
      <c r="I705" s="68"/>
      <c r="J705" s="68"/>
      <c r="K705" s="68"/>
      <c r="L705" s="68"/>
      <c r="M705" s="68"/>
      <c r="N705" s="68"/>
      <c r="O705" s="68"/>
      <c r="P705" s="68"/>
      <c r="Q705" s="125"/>
      <c r="R705" s="68"/>
    </row>
    <row r="706" spans="1:18" ht="33.75" customHeight="1">
      <c r="A706" s="68"/>
      <c r="B706" s="68"/>
      <c r="C706" s="68"/>
      <c r="D706" s="68"/>
      <c r="E706" s="68"/>
      <c r="F706" s="68"/>
      <c r="G706" s="68"/>
      <c r="H706" s="68"/>
      <c r="I706" s="68"/>
      <c r="J706" s="68"/>
      <c r="K706" s="68"/>
      <c r="L706" s="68"/>
      <c r="M706" s="68"/>
      <c r="N706" s="68"/>
      <c r="O706" s="68"/>
      <c r="P706" s="68"/>
      <c r="Q706" s="125"/>
      <c r="R706" s="68"/>
    </row>
    <row r="707" spans="1:18" ht="33.75" customHeight="1">
      <c r="A707" s="68"/>
      <c r="B707" s="68"/>
      <c r="C707" s="68"/>
      <c r="D707" s="68"/>
      <c r="E707" s="68"/>
      <c r="F707" s="68"/>
      <c r="G707" s="68"/>
      <c r="H707" s="68"/>
      <c r="I707" s="68"/>
      <c r="J707" s="68"/>
      <c r="K707" s="68"/>
      <c r="L707" s="68"/>
      <c r="M707" s="68"/>
      <c r="N707" s="68"/>
      <c r="O707" s="68"/>
      <c r="P707" s="68"/>
      <c r="Q707" s="125"/>
      <c r="R707" s="68"/>
    </row>
    <row r="708" spans="1:18" ht="33.75" customHeight="1">
      <c r="A708" s="68"/>
      <c r="B708" s="68"/>
      <c r="C708" s="68"/>
      <c r="D708" s="68"/>
      <c r="E708" s="68"/>
      <c r="F708" s="68"/>
      <c r="G708" s="68"/>
      <c r="H708" s="68"/>
      <c r="I708" s="68"/>
      <c r="J708" s="68"/>
      <c r="K708" s="68"/>
      <c r="L708" s="68"/>
      <c r="M708" s="68"/>
      <c r="N708" s="68"/>
      <c r="O708" s="68"/>
      <c r="P708" s="68"/>
      <c r="Q708" s="125"/>
      <c r="R708" s="68"/>
    </row>
    <row r="709" spans="1:18" ht="33.75" customHeight="1">
      <c r="A709" s="68"/>
      <c r="B709" s="68"/>
      <c r="C709" s="68"/>
      <c r="D709" s="68"/>
      <c r="E709" s="68"/>
      <c r="F709" s="68"/>
      <c r="G709" s="68"/>
      <c r="H709" s="68"/>
      <c r="I709" s="68"/>
      <c r="J709" s="68"/>
      <c r="K709" s="68"/>
      <c r="L709" s="68"/>
      <c r="M709" s="68"/>
      <c r="N709" s="68"/>
      <c r="O709" s="68"/>
      <c r="P709" s="68"/>
      <c r="Q709" s="125"/>
      <c r="R709" s="68"/>
    </row>
    <row r="710" spans="1:18" ht="33.75" customHeight="1">
      <c r="A710" s="68"/>
      <c r="B710" s="68"/>
      <c r="C710" s="68"/>
      <c r="D710" s="68"/>
      <c r="E710" s="68"/>
      <c r="F710" s="68"/>
      <c r="G710" s="68"/>
      <c r="H710" s="68"/>
      <c r="I710" s="68"/>
      <c r="J710" s="68"/>
      <c r="K710" s="68"/>
      <c r="L710" s="68"/>
      <c r="M710" s="68"/>
      <c r="N710" s="68"/>
      <c r="O710" s="68"/>
      <c r="P710" s="68"/>
      <c r="Q710" s="125"/>
      <c r="R710" s="68"/>
    </row>
    <row r="711" spans="1:18" ht="33.75" customHeight="1">
      <c r="A711" s="68"/>
      <c r="B711" s="68"/>
      <c r="C711" s="68"/>
      <c r="D711" s="68"/>
      <c r="E711" s="68"/>
      <c r="F711" s="68"/>
      <c r="G711" s="68"/>
      <c r="H711" s="68"/>
      <c r="I711" s="68"/>
      <c r="J711" s="68"/>
      <c r="K711" s="68"/>
      <c r="L711" s="68"/>
      <c r="M711" s="68"/>
      <c r="N711" s="68"/>
      <c r="O711" s="68"/>
      <c r="P711" s="68"/>
      <c r="Q711" s="125"/>
      <c r="R711" s="68"/>
    </row>
    <row r="712" spans="1:18" ht="33.75" customHeight="1">
      <c r="A712" s="68"/>
      <c r="B712" s="68"/>
      <c r="C712" s="68"/>
      <c r="D712" s="68"/>
      <c r="E712" s="68"/>
      <c r="F712" s="68"/>
      <c r="G712" s="68"/>
      <c r="H712" s="68"/>
      <c r="I712" s="68"/>
      <c r="J712" s="68"/>
      <c r="K712" s="68"/>
      <c r="L712" s="68"/>
      <c r="M712" s="68"/>
      <c r="N712" s="68"/>
      <c r="O712" s="68"/>
      <c r="P712" s="68"/>
      <c r="Q712" s="125"/>
      <c r="R712" s="68"/>
    </row>
    <row r="713" spans="1:18" ht="33.75" customHeight="1">
      <c r="A713" s="68"/>
      <c r="B713" s="68"/>
      <c r="C713" s="68"/>
      <c r="D713" s="68"/>
      <c r="E713" s="68"/>
      <c r="F713" s="68"/>
      <c r="G713" s="68"/>
      <c r="H713" s="68"/>
      <c r="I713" s="68"/>
      <c r="J713" s="68"/>
      <c r="K713" s="68"/>
      <c r="L713" s="68"/>
      <c r="M713" s="68"/>
      <c r="N713" s="68"/>
      <c r="O713" s="68"/>
      <c r="P713" s="68"/>
      <c r="Q713" s="125"/>
      <c r="R713" s="68"/>
    </row>
    <row r="714" spans="1:18" ht="33.75" customHeight="1">
      <c r="A714" s="68"/>
      <c r="B714" s="68"/>
      <c r="C714" s="68"/>
      <c r="D714" s="68"/>
      <c r="E714" s="68"/>
      <c r="F714" s="68"/>
      <c r="G714" s="68"/>
      <c r="H714" s="68"/>
      <c r="I714" s="68"/>
      <c r="J714" s="68"/>
      <c r="K714" s="68"/>
      <c r="L714" s="68"/>
      <c r="M714" s="68"/>
      <c r="N714" s="68"/>
      <c r="O714" s="68"/>
      <c r="P714" s="68"/>
      <c r="Q714" s="125"/>
      <c r="R714" s="68"/>
    </row>
    <row r="715" spans="1:18" ht="33.75" customHeight="1">
      <c r="A715" s="68"/>
      <c r="B715" s="68"/>
      <c r="C715" s="68"/>
      <c r="D715" s="68"/>
      <c r="E715" s="68"/>
      <c r="F715" s="68"/>
      <c r="G715" s="68"/>
      <c r="H715" s="68"/>
      <c r="I715" s="68"/>
      <c r="J715" s="68"/>
      <c r="K715" s="68"/>
      <c r="L715" s="68"/>
      <c r="M715" s="68"/>
      <c r="N715" s="68"/>
      <c r="O715" s="68"/>
      <c r="P715" s="68"/>
      <c r="Q715" s="125"/>
      <c r="R715" s="68"/>
    </row>
    <row r="716" spans="1:18" ht="33.75" customHeight="1">
      <c r="A716" s="68"/>
      <c r="B716" s="68"/>
      <c r="C716" s="68"/>
      <c r="D716" s="68"/>
      <c r="E716" s="68"/>
      <c r="F716" s="68"/>
      <c r="G716" s="68"/>
      <c r="H716" s="68"/>
      <c r="I716" s="68"/>
      <c r="J716" s="68"/>
      <c r="K716" s="68"/>
      <c r="L716" s="68"/>
      <c r="M716" s="68"/>
      <c r="N716" s="68"/>
      <c r="O716" s="68"/>
      <c r="P716" s="68"/>
      <c r="Q716" s="125"/>
      <c r="R716" s="68"/>
    </row>
    <row r="717" spans="1:18" ht="33.75" customHeight="1">
      <c r="A717" s="68"/>
      <c r="B717" s="68"/>
      <c r="C717" s="68"/>
      <c r="D717" s="68"/>
      <c r="E717" s="68"/>
      <c r="F717" s="68"/>
      <c r="G717" s="68"/>
      <c r="H717" s="68"/>
      <c r="I717" s="68"/>
      <c r="J717" s="68"/>
      <c r="K717" s="68"/>
      <c r="L717" s="68"/>
      <c r="M717" s="68"/>
      <c r="N717" s="68"/>
      <c r="O717" s="68"/>
      <c r="P717" s="68"/>
      <c r="Q717" s="125"/>
      <c r="R717" s="68"/>
    </row>
    <row r="718" spans="1:18" ht="33.75" customHeight="1">
      <c r="A718" s="68"/>
      <c r="B718" s="68"/>
      <c r="C718" s="68"/>
      <c r="D718" s="68"/>
      <c r="E718" s="68"/>
      <c r="F718" s="68"/>
      <c r="G718" s="68"/>
      <c r="H718" s="68"/>
      <c r="I718" s="68"/>
      <c r="J718" s="68"/>
      <c r="K718" s="68"/>
      <c r="L718" s="68"/>
      <c r="M718" s="68"/>
      <c r="N718" s="68"/>
      <c r="O718" s="68"/>
      <c r="P718" s="68"/>
      <c r="Q718" s="125"/>
      <c r="R718" s="68"/>
    </row>
    <row r="719" spans="1:18" ht="33.75" customHeight="1">
      <c r="A719" s="68"/>
      <c r="B719" s="68"/>
      <c r="C719" s="68"/>
      <c r="D719" s="68"/>
      <c r="E719" s="68"/>
      <c r="F719" s="68"/>
      <c r="G719" s="68"/>
      <c r="H719" s="68"/>
      <c r="I719" s="68"/>
      <c r="J719" s="68"/>
      <c r="K719" s="68"/>
      <c r="L719" s="68"/>
      <c r="M719" s="68"/>
      <c r="N719" s="68"/>
      <c r="O719" s="68"/>
      <c r="P719" s="68"/>
      <c r="Q719" s="125"/>
      <c r="R719" s="68"/>
    </row>
    <row r="720" spans="1:18" ht="33.75" customHeight="1">
      <c r="A720" s="68"/>
      <c r="B720" s="68"/>
      <c r="C720" s="68"/>
      <c r="D720" s="68"/>
      <c r="E720" s="68"/>
      <c r="F720" s="68"/>
      <c r="G720" s="68"/>
      <c r="H720" s="68"/>
      <c r="I720" s="68"/>
      <c r="J720" s="68"/>
      <c r="K720" s="68"/>
      <c r="L720" s="68"/>
      <c r="M720" s="68"/>
      <c r="N720" s="68"/>
      <c r="O720" s="68"/>
      <c r="P720" s="68"/>
      <c r="Q720" s="125"/>
      <c r="R720" s="68"/>
    </row>
    <row r="721" spans="1:18" ht="33.75" customHeight="1">
      <c r="A721" s="68"/>
      <c r="B721" s="68"/>
      <c r="C721" s="68"/>
      <c r="D721" s="68"/>
      <c r="E721" s="68"/>
      <c r="F721" s="68"/>
      <c r="G721" s="68"/>
      <c r="H721" s="68"/>
      <c r="I721" s="68"/>
      <c r="J721" s="68"/>
      <c r="K721" s="68"/>
      <c r="L721" s="68"/>
      <c r="M721" s="68"/>
      <c r="N721" s="68"/>
      <c r="O721" s="68"/>
      <c r="P721" s="68"/>
      <c r="Q721" s="125"/>
      <c r="R721" s="68"/>
    </row>
    <row r="722" spans="1:18" ht="33.75" customHeight="1">
      <c r="A722" s="68"/>
      <c r="B722" s="68"/>
      <c r="C722" s="68"/>
      <c r="D722" s="68"/>
      <c r="E722" s="68"/>
      <c r="F722" s="68"/>
      <c r="G722" s="68"/>
      <c r="H722" s="68"/>
      <c r="I722" s="68"/>
      <c r="J722" s="68"/>
      <c r="K722" s="68"/>
      <c r="L722" s="68"/>
      <c r="M722" s="68"/>
      <c r="N722" s="68"/>
      <c r="O722" s="68"/>
      <c r="P722" s="68"/>
      <c r="Q722" s="125"/>
      <c r="R722" s="68"/>
    </row>
    <row r="723" spans="1:18" ht="33.75" customHeight="1">
      <c r="A723" s="68"/>
      <c r="B723" s="68"/>
      <c r="C723" s="68"/>
      <c r="D723" s="68"/>
      <c r="E723" s="68"/>
      <c r="F723" s="68"/>
      <c r="G723" s="68"/>
      <c r="H723" s="68"/>
      <c r="I723" s="68"/>
      <c r="J723" s="68"/>
      <c r="K723" s="68"/>
      <c r="L723" s="68"/>
      <c r="M723" s="68"/>
      <c r="N723" s="68"/>
      <c r="O723" s="68"/>
      <c r="P723" s="68"/>
      <c r="Q723" s="125"/>
      <c r="R723" s="68"/>
    </row>
    <row r="724" spans="1:18" ht="33.75" customHeight="1">
      <c r="A724" s="68"/>
      <c r="B724" s="68"/>
      <c r="C724" s="68"/>
      <c r="D724" s="68"/>
      <c r="E724" s="68"/>
      <c r="F724" s="68"/>
      <c r="G724" s="68"/>
      <c r="H724" s="68"/>
      <c r="I724" s="68"/>
      <c r="J724" s="68"/>
      <c r="K724" s="68"/>
      <c r="L724" s="68"/>
      <c r="M724" s="68"/>
      <c r="N724" s="68"/>
      <c r="O724" s="68"/>
      <c r="P724" s="68"/>
      <c r="Q724" s="125"/>
      <c r="R724" s="68"/>
    </row>
    <row r="725" spans="1:18" ht="33.75" customHeight="1">
      <c r="A725" s="68"/>
      <c r="B725" s="68"/>
      <c r="C725" s="68"/>
      <c r="D725" s="68"/>
      <c r="E725" s="68"/>
      <c r="F725" s="68"/>
      <c r="G725" s="68"/>
      <c r="H725" s="68"/>
      <c r="I725" s="68"/>
      <c r="J725" s="68"/>
      <c r="K725" s="68"/>
      <c r="L725" s="68"/>
      <c r="M725" s="68"/>
      <c r="N725" s="68"/>
      <c r="O725" s="68"/>
      <c r="P725" s="68"/>
      <c r="Q725" s="125"/>
      <c r="R725" s="68"/>
    </row>
    <row r="726" spans="1:18" ht="33.75" customHeight="1">
      <c r="A726" s="68"/>
      <c r="B726" s="68"/>
      <c r="C726" s="68"/>
      <c r="D726" s="68"/>
      <c r="E726" s="68"/>
      <c r="F726" s="68"/>
      <c r="G726" s="68"/>
      <c r="H726" s="68"/>
      <c r="I726" s="68"/>
      <c r="J726" s="68"/>
      <c r="K726" s="68"/>
      <c r="L726" s="68"/>
      <c r="M726" s="68"/>
      <c r="N726" s="68"/>
      <c r="O726" s="68"/>
      <c r="P726" s="68"/>
      <c r="Q726" s="125"/>
      <c r="R726" s="68"/>
    </row>
    <row r="727" spans="1:18" ht="33.75" customHeight="1">
      <c r="A727" s="68"/>
      <c r="B727" s="68"/>
      <c r="C727" s="68"/>
      <c r="D727" s="68"/>
      <c r="E727" s="68"/>
      <c r="F727" s="68"/>
      <c r="G727" s="68"/>
      <c r="H727" s="68"/>
      <c r="I727" s="68"/>
      <c r="J727" s="68"/>
      <c r="K727" s="68"/>
      <c r="L727" s="68"/>
      <c r="M727" s="68"/>
      <c r="N727" s="68"/>
      <c r="O727" s="68"/>
      <c r="P727" s="68"/>
      <c r="Q727" s="125"/>
      <c r="R727" s="68"/>
    </row>
    <row r="728" spans="1:18" ht="33.75" customHeight="1">
      <c r="A728" s="68"/>
      <c r="B728" s="68"/>
      <c r="C728" s="68"/>
      <c r="D728" s="68"/>
      <c r="E728" s="68"/>
      <c r="F728" s="68"/>
      <c r="G728" s="68"/>
      <c r="H728" s="68"/>
      <c r="I728" s="68"/>
      <c r="J728" s="68"/>
      <c r="K728" s="68"/>
      <c r="L728" s="68"/>
      <c r="M728" s="68"/>
      <c r="N728" s="68"/>
      <c r="O728" s="68"/>
      <c r="P728" s="68"/>
      <c r="Q728" s="125"/>
      <c r="R728" s="68"/>
    </row>
    <row r="729" spans="1:18" ht="33.75" customHeight="1">
      <c r="A729" s="68"/>
      <c r="B729" s="68"/>
      <c r="C729" s="68"/>
      <c r="D729" s="68"/>
      <c r="E729" s="68"/>
      <c r="F729" s="68"/>
      <c r="G729" s="68"/>
      <c r="H729" s="68"/>
      <c r="I729" s="68"/>
      <c r="J729" s="68"/>
      <c r="K729" s="68"/>
      <c r="L729" s="68"/>
      <c r="M729" s="68"/>
      <c r="N729" s="68"/>
      <c r="O729" s="68"/>
      <c r="P729" s="68"/>
      <c r="Q729" s="125"/>
      <c r="R729" s="68"/>
    </row>
    <row r="730" spans="1:18" ht="33.75" customHeight="1">
      <c r="A730" s="68"/>
      <c r="B730" s="68"/>
      <c r="C730" s="68"/>
      <c r="D730" s="68"/>
      <c r="E730" s="68"/>
      <c r="F730" s="68"/>
      <c r="G730" s="68"/>
      <c r="H730" s="68"/>
      <c r="I730" s="68"/>
      <c r="J730" s="68"/>
      <c r="K730" s="68"/>
      <c r="L730" s="68"/>
      <c r="M730" s="68"/>
      <c r="N730" s="68"/>
      <c r="O730" s="68"/>
      <c r="P730" s="68"/>
      <c r="Q730" s="125"/>
      <c r="R730" s="68"/>
    </row>
    <row r="731" spans="1:18" ht="33.75" customHeight="1">
      <c r="A731" s="68"/>
      <c r="B731" s="68"/>
      <c r="C731" s="68"/>
      <c r="D731" s="68"/>
      <c r="E731" s="68"/>
      <c r="F731" s="68"/>
      <c r="G731" s="68"/>
      <c r="H731" s="68"/>
      <c r="I731" s="68"/>
      <c r="J731" s="68"/>
      <c r="K731" s="68"/>
      <c r="L731" s="68"/>
      <c r="M731" s="68"/>
      <c r="N731" s="68"/>
      <c r="O731" s="68"/>
      <c r="P731" s="68"/>
      <c r="Q731" s="125"/>
      <c r="R731" s="68"/>
    </row>
    <row r="732" spans="1:18" ht="33.75" customHeight="1">
      <c r="A732" s="68"/>
      <c r="B732" s="68"/>
      <c r="C732" s="68"/>
      <c r="D732" s="68"/>
      <c r="E732" s="68"/>
      <c r="F732" s="68"/>
      <c r="G732" s="68"/>
      <c r="H732" s="68"/>
      <c r="I732" s="68"/>
      <c r="J732" s="68"/>
      <c r="K732" s="68"/>
      <c r="L732" s="68"/>
      <c r="M732" s="68"/>
      <c r="N732" s="68"/>
      <c r="O732" s="68"/>
      <c r="P732" s="68"/>
      <c r="Q732" s="125"/>
      <c r="R732" s="68"/>
    </row>
    <row r="733" spans="1:18" ht="33.75" customHeight="1">
      <c r="A733" s="68"/>
      <c r="B733" s="68"/>
      <c r="C733" s="68"/>
      <c r="D733" s="68"/>
      <c r="E733" s="68"/>
      <c r="F733" s="68"/>
      <c r="G733" s="68"/>
      <c r="H733" s="68"/>
      <c r="I733" s="68"/>
      <c r="J733" s="68"/>
      <c r="K733" s="68"/>
      <c r="L733" s="68"/>
      <c r="M733" s="68"/>
      <c r="N733" s="68"/>
      <c r="O733" s="68"/>
      <c r="P733" s="68"/>
      <c r="Q733" s="125"/>
      <c r="R733" s="68"/>
    </row>
    <row r="734" spans="1:18" ht="33.75" customHeight="1">
      <c r="A734" s="68"/>
      <c r="B734" s="68"/>
      <c r="C734" s="68"/>
      <c r="D734" s="68"/>
      <c r="E734" s="68"/>
      <c r="F734" s="68"/>
      <c r="G734" s="68"/>
      <c r="H734" s="68"/>
      <c r="I734" s="68"/>
      <c r="J734" s="68"/>
      <c r="K734" s="68"/>
      <c r="L734" s="68"/>
      <c r="M734" s="68"/>
      <c r="N734" s="68"/>
      <c r="O734" s="68"/>
      <c r="P734" s="68"/>
      <c r="Q734" s="125"/>
      <c r="R734" s="68"/>
    </row>
    <row r="735" spans="1:18" ht="33.75" customHeight="1">
      <c r="A735" s="68"/>
      <c r="B735" s="68"/>
      <c r="C735" s="68"/>
      <c r="D735" s="68"/>
      <c r="E735" s="68"/>
      <c r="F735" s="68"/>
      <c r="G735" s="68"/>
      <c r="H735" s="68"/>
      <c r="I735" s="68"/>
      <c r="J735" s="68"/>
      <c r="K735" s="68"/>
      <c r="L735" s="68"/>
      <c r="M735" s="68"/>
      <c r="N735" s="68"/>
      <c r="O735" s="68"/>
      <c r="P735" s="68"/>
      <c r="Q735" s="125"/>
      <c r="R735" s="68"/>
    </row>
    <row r="736" spans="1:18" ht="33.75" customHeight="1">
      <c r="A736" s="68"/>
      <c r="B736" s="68"/>
      <c r="C736" s="68"/>
      <c r="D736" s="68"/>
      <c r="E736" s="68"/>
      <c r="F736" s="68"/>
      <c r="G736" s="68"/>
      <c r="H736" s="68"/>
      <c r="I736" s="68"/>
      <c r="J736" s="68"/>
      <c r="K736" s="68"/>
      <c r="L736" s="68"/>
      <c r="M736" s="68"/>
      <c r="N736" s="68"/>
      <c r="O736" s="68"/>
      <c r="P736" s="68"/>
      <c r="Q736" s="125"/>
      <c r="R736" s="68"/>
    </row>
    <row r="737" spans="1:18" ht="33.75" customHeight="1">
      <c r="A737" s="68"/>
      <c r="B737" s="68"/>
      <c r="C737" s="68"/>
      <c r="D737" s="68"/>
      <c r="E737" s="68"/>
      <c r="F737" s="68"/>
      <c r="G737" s="68"/>
      <c r="H737" s="68"/>
      <c r="I737" s="68"/>
      <c r="J737" s="68"/>
      <c r="K737" s="68"/>
      <c r="L737" s="68"/>
      <c r="M737" s="68"/>
      <c r="N737" s="68"/>
      <c r="O737" s="68"/>
      <c r="P737" s="68"/>
      <c r="Q737" s="125"/>
      <c r="R737" s="68"/>
    </row>
    <row r="738" spans="1:18" ht="33.75" customHeight="1">
      <c r="A738" s="68"/>
      <c r="B738" s="68"/>
      <c r="C738" s="68"/>
      <c r="D738" s="68"/>
      <c r="E738" s="68"/>
      <c r="F738" s="68"/>
      <c r="G738" s="68"/>
      <c r="H738" s="68"/>
      <c r="I738" s="68"/>
      <c r="J738" s="68"/>
      <c r="K738" s="68"/>
      <c r="L738" s="68"/>
      <c r="M738" s="68"/>
      <c r="N738" s="68"/>
      <c r="O738" s="68"/>
      <c r="P738" s="68"/>
      <c r="Q738" s="125"/>
      <c r="R738" s="68"/>
    </row>
    <row r="739" spans="1:18" ht="33.75" customHeight="1">
      <c r="A739" s="68"/>
      <c r="B739" s="68"/>
      <c r="C739" s="68"/>
      <c r="D739" s="68"/>
      <c r="E739" s="68"/>
      <c r="F739" s="68"/>
      <c r="G739" s="68"/>
      <c r="H739" s="68"/>
      <c r="I739" s="68"/>
      <c r="J739" s="68"/>
      <c r="K739" s="68"/>
      <c r="L739" s="68"/>
      <c r="M739" s="68"/>
      <c r="N739" s="68"/>
      <c r="O739" s="68"/>
      <c r="P739" s="68"/>
      <c r="Q739" s="125"/>
      <c r="R739" s="68"/>
    </row>
    <row r="740" spans="1:18" ht="33.75" customHeight="1">
      <c r="A740" s="68"/>
      <c r="B740" s="68"/>
      <c r="C740" s="68"/>
      <c r="D740" s="68"/>
      <c r="E740" s="68"/>
      <c r="F740" s="68"/>
      <c r="G740" s="68"/>
      <c r="H740" s="68"/>
      <c r="I740" s="68"/>
      <c r="J740" s="68"/>
      <c r="K740" s="68"/>
      <c r="L740" s="68"/>
      <c r="M740" s="68"/>
      <c r="N740" s="68"/>
      <c r="O740" s="68"/>
      <c r="P740" s="68"/>
      <c r="Q740" s="125"/>
      <c r="R740" s="68"/>
    </row>
    <row r="741" spans="1:18" ht="33.75" customHeight="1">
      <c r="A741" s="68"/>
      <c r="B741" s="68"/>
      <c r="C741" s="68"/>
      <c r="D741" s="68"/>
      <c r="E741" s="68"/>
      <c r="F741" s="68"/>
      <c r="G741" s="68"/>
      <c r="H741" s="68"/>
      <c r="I741" s="68"/>
      <c r="J741" s="68"/>
      <c r="K741" s="68"/>
      <c r="L741" s="68"/>
      <c r="M741" s="68"/>
      <c r="N741" s="68"/>
      <c r="O741" s="68"/>
      <c r="P741" s="68"/>
      <c r="Q741" s="125"/>
      <c r="R741" s="68"/>
    </row>
    <row r="742" spans="1:18" ht="33.75" customHeight="1">
      <c r="A742" s="68"/>
      <c r="B742" s="68"/>
      <c r="C742" s="68"/>
      <c r="D742" s="68"/>
      <c r="E742" s="68"/>
      <c r="F742" s="68"/>
      <c r="G742" s="68"/>
      <c r="H742" s="68"/>
      <c r="I742" s="68"/>
      <c r="J742" s="68"/>
      <c r="K742" s="68"/>
      <c r="L742" s="68"/>
      <c r="M742" s="68"/>
      <c r="N742" s="68"/>
      <c r="O742" s="68"/>
      <c r="P742" s="68"/>
      <c r="Q742" s="125"/>
      <c r="R742" s="68"/>
    </row>
    <row r="743" spans="1:18" ht="33.75" customHeight="1">
      <c r="A743" s="68"/>
      <c r="B743" s="68"/>
      <c r="C743" s="68"/>
      <c r="D743" s="68"/>
      <c r="E743" s="68"/>
      <c r="F743" s="68"/>
      <c r="G743" s="68"/>
      <c r="H743" s="68"/>
      <c r="I743" s="68"/>
      <c r="J743" s="68"/>
      <c r="K743" s="68"/>
      <c r="L743" s="68"/>
      <c r="M743" s="68"/>
      <c r="N743" s="68"/>
      <c r="O743" s="68"/>
      <c r="P743" s="68"/>
      <c r="Q743" s="125"/>
      <c r="R743" s="68"/>
    </row>
    <row r="744" spans="1:18" ht="33.75" customHeight="1">
      <c r="A744" s="68"/>
      <c r="B744" s="68"/>
      <c r="C744" s="68"/>
      <c r="D744" s="68"/>
      <c r="E744" s="68"/>
      <c r="F744" s="68"/>
      <c r="G744" s="68"/>
      <c r="H744" s="68"/>
      <c r="I744" s="68"/>
      <c r="J744" s="68"/>
      <c r="K744" s="68"/>
      <c r="L744" s="68"/>
      <c r="M744" s="68"/>
      <c r="N744" s="68"/>
      <c r="O744" s="68"/>
      <c r="P744" s="68"/>
      <c r="Q744" s="125"/>
      <c r="R744" s="68"/>
    </row>
    <row r="745" spans="1:18" ht="33.75" customHeight="1">
      <c r="A745" s="68"/>
      <c r="B745" s="68"/>
      <c r="C745" s="68"/>
      <c r="D745" s="68"/>
      <c r="E745" s="68"/>
      <c r="F745" s="68"/>
      <c r="G745" s="68"/>
      <c r="H745" s="68"/>
      <c r="I745" s="68"/>
      <c r="J745" s="68"/>
      <c r="K745" s="68"/>
      <c r="L745" s="68"/>
      <c r="M745" s="68"/>
      <c r="N745" s="68"/>
      <c r="O745" s="68"/>
      <c r="P745" s="68"/>
      <c r="Q745" s="125"/>
      <c r="R745" s="68"/>
    </row>
    <row r="746" spans="1:18" ht="33.75" customHeight="1">
      <c r="A746" s="68"/>
      <c r="B746" s="68"/>
      <c r="C746" s="68"/>
      <c r="D746" s="68"/>
      <c r="E746" s="68"/>
      <c r="F746" s="68"/>
      <c r="G746" s="68"/>
      <c r="H746" s="68"/>
      <c r="I746" s="68"/>
      <c r="J746" s="68"/>
      <c r="K746" s="68"/>
      <c r="L746" s="68"/>
      <c r="M746" s="68"/>
      <c r="N746" s="68"/>
      <c r="O746" s="68"/>
      <c r="P746" s="68"/>
      <c r="Q746" s="125"/>
      <c r="R746" s="68"/>
    </row>
    <row r="747" spans="1:18" ht="33.75" customHeight="1">
      <c r="A747" s="68"/>
      <c r="B747" s="68"/>
      <c r="C747" s="68"/>
      <c r="D747" s="68"/>
      <c r="E747" s="68"/>
      <c r="F747" s="68"/>
      <c r="G747" s="68"/>
      <c r="H747" s="68"/>
      <c r="I747" s="68"/>
      <c r="J747" s="68"/>
      <c r="K747" s="68"/>
      <c r="L747" s="68"/>
      <c r="M747" s="68"/>
      <c r="N747" s="68"/>
      <c r="O747" s="68"/>
      <c r="P747" s="68"/>
      <c r="Q747" s="125"/>
      <c r="R747" s="68"/>
    </row>
    <row r="748" spans="1:18" ht="33.75" customHeight="1">
      <c r="A748" s="68"/>
      <c r="B748" s="68"/>
      <c r="C748" s="68"/>
      <c r="D748" s="68"/>
      <c r="E748" s="68"/>
      <c r="F748" s="68"/>
      <c r="G748" s="68"/>
      <c r="H748" s="68"/>
      <c r="I748" s="68"/>
      <c r="J748" s="68"/>
      <c r="K748" s="68"/>
      <c r="L748" s="68"/>
      <c r="M748" s="68"/>
      <c r="N748" s="68"/>
      <c r="O748" s="68"/>
      <c r="P748" s="68"/>
      <c r="Q748" s="125"/>
      <c r="R748" s="68"/>
    </row>
    <row r="749" spans="1:18" ht="33.75" customHeight="1">
      <c r="A749" s="68"/>
      <c r="B749" s="68"/>
      <c r="C749" s="68"/>
      <c r="D749" s="68"/>
      <c r="E749" s="68"/>
      <c r="F749" s="68"/>
      <c r="G749" s="68"/>
      <c r="H749" s="68"/>
      <c r="I749" s="68"/>
      <c r="J749" s="68"/>
      <c r="K749" s="68"/>
      <c r="L749" s="68"/>
      <c r="M749" s="68"/>
      <c r="N749" s="68"/>
      <c r="O749" s="68"/>
      <c r="P749" s="68"/>
      <c r="Q749" s="125"/>
      <c r="R749" s="68"/>
    </row>
    <row r="750" spans="1:18" ht="33.75" customHeight="1">
      <c r="A750" s="68"/>
      <c r="B750" s="68"/>
      <c r="C750" s="68"/>
      <c r="D750" s="68"/>
      <c r="E750" s="68"/>
      <c r="F750" s="68"/>
      <c r="G750" s="68"/>
      <c r="H750" s="68"/>
      <c r="I750" s="68"/>
      <c r="J750" s="68"/>
      <c r="K750" s="68"/>
      <c r="L750" s="68"/>
      <c r="M750" s="68"/>
      <c r="N750" s="68"/>
      <c r="O750" s="68"/>
      <c r="P750" s="68"/>
      <c r="Q750" s="125"/>
      <c r="R750" s="68"/>
    </row>
    <row r="751" spans="1:18" ht="33.75" customHeight="1">
      <c r="A751" s="68"/>
      <c r="B751" s="68"/>
      <c r="C751" s="68"/>
      <c r="D751" s="68"/>
      <c r="E751" s="68"/>
      <c r="F751" s="68"/>
      <c r="G751" s="68"/>
      <c r="H751" s="68"/>
      <c r="I751" s="68"/>
      <c r="J751" s="68"/>
      <c r="K751" s="68"/>
      <c r="L751" s="68"/>
      <c r="M751" s="68"/>
      <c r="N751" s="68"/>
      <c r="O751" s="68"/>
      <c r="P751" s="68"/>
      <c r="Q751" s="125"/>
      <c r="R751" s="68"/>
    </row>
    <row r="752" spans="1:18" ht="33.75" customHeight="1">
      <c r="A752" s="68"/>
      <c r="B752" s="68"/>
      <c r="C752" s="68"/>
      <c r="D752" s="68"/>
      <c r="E752" s="68"/>
      <c r="F752" s="68"/>
      <c r="G752" s="68"/>
      <c r="H752" s="68"/>
      <c r="I752" s="68"/>
      <c r="J752" s="68"/>
      <c r="K752" s="68"/>
      <c r="L752" s="68"/>
      <c r="M752" s="68"/>
      <c r="N752" s="68"/>
      <c r="O752" s="68"/>
      <c r="P752" s="68"/>
      <c r="Q752" s="125"/>
      <c r="R752" s="68"/>
    </row>
    <row r="753" spans="1:18" ht="33.75" customHeight="1">
      <c r="A753" s="68"/>
      <c r="B753" s="68"/>
      <c r="C753" s="68"/>
      <c r="D753" s="68"/>
      <c r="E753" s="68"/>
      <c r="F753" s="68"/>
      <c r="G753" s="68"/>
      <c r="H753" s="68"/>
      <c r="I753" s="68"/>
      <c r="J753" s="68"/>
      <c r="K753" s="68"/>
      <c r="L753" s="68"/>
      <c r="M753" s="68"/>
      <c r="N753" s="68"/>
      <c r="O753" s="68"/>
      <c r="P753" s="68"/>
      <c r="Q753" s="125"/>
      <c r="R753" s="68"/>
    </row>
    <row r="754" spans="1:18" ht="33.75" customHeight="1">
      <c r="A754" s="68"/>
      <c r="B754" s="68"/>
      <c r="C754" s="68"/>
      <c r="D754" s="68"/>
      <c r="E754" s="68"/>
      <c r="F754" s="68"/>
      <c r="G754" s="68"/>
      <c r="H754" s="68"/>
      <c r="I754" s="68"/>
      <c r="J754" s="68"/>
      <c r="K754" s="68"/>
      <c r="L754" s="68"/>
      <c r="M754" s="68"/>
      <c r="N754" s="68"/>
      <c r="O754" s="68"/>
      <c r="P754" s="68"/>
      <c r="Q754" s="125"/>
      <c r="R754" s="68"/>
    </row>
    <row r="755" spans="1:18" ht="33.75" customHeight="1">
      <c r="A755" s="68"/>
      <c r="B755" s="68"/>
      <c r="C755" s="68"/>
      <c r="D755" s="68"/>
      <c r="E755" s="68"/>
      <c r="F755" s="68"/>
      <c r="G755" s="68"/>
      <c r="H755" s="68"/>
      <c r="I755" s="68"/>
      <c r="J755" s="68"/>
      <c r="K755" s="68"/>
      <c r="L755" s="68"/>
      <c r="M755" s="68"/>
      <c r="N755" s="68"/>
      <c r="O755" s="68"/>
      <c r="P755" s="68"/>
      <c r="Q755" s="125"/>
      <c r="R755" s="68"/>
    </row>
    <row r="756" spans="1:18" ht="33.75" customHeight="1">
      <c r="A756" s="68"/>
      <c r="B756" s="68"/>
      <c r="C756" s="68"/>
      <c r="D756" s="68"/>
      <c r="E756" s="68"/>
      <c r="F756" s="68"/>
      <c r="G756" s="68"/>
      <c r="H756" s="68"/>
      <c r="I756" s="68"/>
      <c r="J756" s="68"/>
      <c r="K756" s="68"/>
      <c r="L756" s="68"/>
      <c r="M756" s="68"/>
      <c r="N756" s="68"/>
      <c r="O756" s="68"/>
      <c r="P756" s="68"/>
      <c r="Q756" s="125"/>
      <c r="R756" s="68"/>
    </row>
    <row r="757" spans="1:18" ht="33.75" customHeight="1">
      <c r="A757" s="68"/>
      <c r="B757" s="68"/>
      <c r="C757" s="68"/>
      <c r="D757" s="68"/>
      <c r="E757" s="68"/>
      <c r="F757" s="68"/>
      <c r="G757" s="68"/>
      <c r="H757" s="68"/>
      <c r="I757" s="68"/>
      <c r="J757" s="68"/>
      <c r="K757" s="68"/>
      <c r="L757" s="68"/>
      <c r="M757" s="68"/>
      <c r="N757" s="68"/>
      <c r="O757" s="68"/>
      <c r="P757" s="68"/>
      <c r="Q757" s="125"/>
      <c r="R757" s="68"/>
    </row>
    <row r="758" spans="1:18" ht="33.75" customHeight="1">
      <c r="A758" s="68"/>
      <c r="B758" s="68"/>
      <c r="C758" s="68"/>
      <c r="D758" s="68"/>
      <c r="E758" s="68"/>
      <c r="F758" s="68"/>
      <c r="G758" s="68"/>
      <c r="H758" s="68"/>
      <c r="I758" s="68"/>
      <c r="J758" s="68"/>
      <c r="K758" s="68"/>
      <c r="L758" s="68"/>
      <c r="M758" s="68"/>
      <c r="N758" s="68"/>
      <c r="O758" s="68"/>
      <c r="P758" s="68"/>
      <c r="Q758" s="125"/>
      <c r="R758" s="68"/>
    </row>
    <row r="759" spans="1:18" ht="33.75" customHeight="1">
      <c r="A759" s="68"/>
      <c r="B759" s="68"/>
      <c r="C759" s="68"/>
      <c r="D759" s="68"/>
      <c r="E759" s="68"/>
      <c r="F759" s="68"/>
      <c r="G759" s="68"/>
      <c r="H759" s="68"/>
      <c r="I759" s="68"/>
      <c r="J759" s="68"/>
      <c r="K759" s="68"/>
      <c r="L759" s="68"/>
      <c r="M759" s="68"/>
      <c r="N759" s="68"/>
      <c r="O759" s="68"/>
      <c r="P759" s="68"/>
      <c r="Q759" s="125"/>
      <c r="R759" s="68"/>
    </row>
    <row r="760" spans="1:18" ht="33.75" customHeight="1">
      <c r="A760" s="68"/>
      <c r="B760" s="68"/>
      <c r="C760" s="68"/>
      <c r="D760" s="68"/>
      <c r="E760" s="68"/>
      <c r="F760" s="68"/>
      <c r="G760" s="68"/>
      <c r="H760" s="68"/>
      <c r="I760" s="68"/>
      <c r="J760" s="68"/>
      <c r="K760" s="68"/>
      <c r="L760" s="68"/>
      <c r="M760" s="68"/>
      <c r="N760" s="68"/>
      <c r="O760" s="68"/>
      <c r="P760" s="68"/>
      <c r="Q760" s="125"/>
      <c r="R760" s="68"/>
    </row>
    <row r="761" spans="1:18" ht="33.75" customHeight="1">
      <c r="A761" s="68"/>
      <c r="B761" s="68"/>
      <c r="C761" s="68"/>
      <c r="D761" s="68"/>
      <c r="E761" s="68"/>
      <c r="F761" s="68"/>
      <c r="G761" s="68"/>
      <c r="H761" s="68"/>
      <c r="I761" s="68"/>
      <c r="J761" s="68"/>
      <c r="K761" s="68"/>
      <c r="L761" s="68"/>
      <c r="M761" s="68"/>
      <c r="N761" s="68"/>
      <c r="O761" s="68"/>
      <c r="P761" s="68"/>
      <c r="Q761" s="125"/>
      <c r="R761" s="68"/>
    </row>
    <row r="762" spans="1:18" ht="33.75" customHeight="1">
      <c r="A762" s="68"/>
      <c r="B762" s="68"/>
      <c r="C762" s="68"/>
      <c r="D762" s="68"/>
      <c r="E762" s="68"/>
      <c r="F762" s="68"/>
      <c r="G762" s="68"/>
      <c r="H762" s="68"/>
      <c r="I762" s="68"/>
      <c r="J762" s="68"/>
      <c r="K762" s="68"/>
      <c r="L762" s="68"/>
      <c r="M762" s="68"/>
      <c r="N762" s="68"/>
      <c r="O762" s="68"/>
      <c r="P762" s="68"/>
      <c r="Q762" s="125"/>
      <c r="R762" s="68"/>
    </row>
    <row r="763" spans="1:18" ht="33.75" customHeight="1">
      <c r="A763" s="68"/>
      <c r="B763" s="68"/>
      <c r="C763" s="68"/>
      <c r="D763" s="68"/>
      <c r="E763" s="68"/>
      <c r="F763" s="68"/>
      <c r="G763" s="68"/>
      <c r="H763" s="68"/>
      <c r="I763" s="68"/>
      <c r="J763" s="68"/>
      <c r="K763" s="68"/>
      <c r="L763" s="68"/>
      <c r="M763" s="68"/>
      <c r="N763" s="68"/>
      <c r="O763" s="68"/>
      <c r="P763" s="68"/>
      <c r="Q763" s="125"/>
      <c r="R763" s="68"/>
    </row>
    <row r="764" spans="1:18" ht="33.75" customHeight="1">
      <c r="A764" s="68"/>
      <c r="B764" s="68"/>
      <c r="C764" s="68"/>
      <c r="D764" s="68"/>
      <c r="E764" s="68"/>
      <c r="F764" s="68"/>
      <c r="G764" s="68"/>
      <c r="H764" s="68"/>
      <c r="I764" s="68"/>
      <c r="J764" s="68"/>
      <c r="K764" s="68"/>
      <c r="L764" s="68"/>
      <c r="M764" s="68"/>
      <c r="N764" s="68"/>
      <c r="O764" s="68"/>
      <c r="P764" s="68"/>
      <c r="Q764" s="125"/>
      <c r="R764" s="68"/>
    </row>
    <row r="765" spans="1:18" ht="33.75" customHeight="1">
      <c r="A765" s="68"/>
      <c r="B765" s="68"/>
      <c r="C765" s="68"/>
      <c r="D765" s="68"/>
      <c r="E765" s="68"/>
      <c r="F765" s="68"/>
      <c r="G765" s="68"/>
      <c r="H765" s="68"/>
      <c r="I765" s="68"/>
      <c r="J765" s="68"/>
      <c r="K765" s="68"/>
      <c r="L765" s="68"/>
      <c r="M765" s="68"/>
      <c r="N765" s="68"/>
      <c r="O765" s="68"/>
      <c r="P765" s="68"/>
      <c r="Q765" s="125"/>
      <c r="R765" s="68"/>
    </row>
    <row r="766" spans="1:18" ht="33.75" customHeight="1">
      <c r="A766" s="68"/>
      <c r="B766" s="68"/>
      <c r="C766" s="68"/>
      <c r="D766" s="68"/>
      <c r="E766" s="68"/>
      <c r="F766" s="68"/>
      <c r="G766" s="68"/>
      <c r="H766" s="68"/>
      <c r="I766" s="68"/>
      <c r="J766" s="68"/>
      <c r="K766" s="68"/>
      <c r="L766" s="68"/>
      <c r="M766" s="68"/>
      <c r="N766" s="68"/>
      <c r="O766" s="68"/>
      <c r="P766" s="68"/>
      <c r="Q766" s="125"/>
      <c r="R766" s="68"/>
    </row>
    <row r="767" spans="1:18" ht="33.75" customHeight="1">
      <c r="A767" s="68"/>
      <c r="B767" s="68"/>
      <c r="C767" s="68"/>
      <c r="D767" s="68"/>
      <c r="E767" s="68"/>
      <c r="F767" s="68"/>
      <c r="G767" s="68"/>
      <c r="H767" s="68"/>
      <c r="I767" s="68"/>
      <c r="J767" s="68"/>
      <c r="K767" s="68"/>
      <c r="L767" s="68"/>
      <c r="M767" s="68"/>
      <c r="N767" s="68"/>
      <c r="O767" s="68"/>
      <c r="P767" s="68"/>
      <c r="Q767" s="125"/>
      <c r="R767" s="68"/>
    </row>
    <row r="768" spans="1:18" ht="33.75" customHeight="1">
      <c r="A768" s="68"/>
      <c r="B768" s="68"/>
      <c r="C768" s="68"/>
      <c r="D768" s="68"/>
      <c r="E768" s="68"/>
      <c r="F768" s="68"/>
      <c r="G768" s="68"/>
      <c r="H768" s="68"/>
      <c r="I768" s="68"/>
      <c r="J768" s="68"/>
      <c r="K768" s="68"/>
      <c r="L768" s="68"/>
      <c r="M768" s="68"/>
      <c r="N768" s="68"/>
      <c r="O768" s="68"/>
      <c r="P768" s="68"/>
      <c r="Q768" s="125"/>
      <c r="R768" s="68"/>
    </row>
    <row r="769" spans="1:18" ht="33.75" customHeight="1">
      <c r="A769" s="68"/>
      <c r="B769" s="68"/>
      <c r="C769" s="68"/>
      <c r="D769" s="68"/>
      <c r="E769" s="68"/>
      <c r="F769" s="68"/>
      <c r="G769" s="68"/>
      <c r="H769" s="68"/>
      <c r="I769" s="68"/>
      <c r="J769" s="68"/>
      <c r="K769" s="68"/>
      <c r="L769" s="68"/>
      <c r="M769" s="68"/>
      <c r="N769" s="68"/>
      <c r="O769" s="68"/>
      <c r="P769" s="68"/>
      <c r="Q769" s="125"/>
      <c r="R769" s="68"/>
    </row>
    <row r="770" spans="1:18" ht="33.75" customHeight="1">
      <c r="A770" s="68"/>
      <c r="B770" s="68"/>
      <c r="C770" s="68"/>
      <c r="D770" s="68"/>
      <c r="E770" s="68"/>
      <c r="F770" s="68"/>
      <c r="G770" s="68"/>
      <c r="H770" s="68"/>
      <c r="I770" s="68"/>
      <c r="J770" s="68"/>
      <c r="K770" s="68"/>
      <c r="L770" s="68"/>
      <c r="M770" s="68"/>
      <c r="N770" s="68"/>
      <c r="O770" s="68"/>
      <c r="P770" s="68"/>
      <c r="Q770" s="125"/>
      <c r="R770" s="68"/>
    </row>
    <row r="771" spans="1:18" ht="33.75" customHeight="1">
      <c r="A771" s="68"/>
      <c r="B771" s="68"/>
      <c r="C771" s="68"/>
      <c r="D771" s="68"/>
      <c r="E771" s="68"/>
      <c r="F771" s="68"/>
      <c r="G771" s="68"/>
      <c r="H771" s="68"/>
      <c r="I771" s="68"/>
      <c r="J771" s="68"/>
      <c r="K771" s="68"/>
      <c r="L771" s="68"/>
      <c r="M771" s="68"/>
      <c r="N771" s="68"/>
      <c r="O771" s="68"/>
      <c r="P771" s="68"/>
      <c r="Q771" s="125"/>
      <c r="R771" s="68"/>
    </row>
    <row r="772" spans="1:18" ht="33.75" customHeight="1">
      <c r="A772" s="68"/>
      <c r="B772" s="68"/>
      <c r="C772" s="68"/>
      <c r="D772" s="68"/>
      <c r="E772" s="68"/>
      <c r="F772" s="68"/>
      <c r="G772" s="68"/>
      <c r="H772" s="68"/>
      <c r="I772" s="68"/>
      <c r="J772" s="68"/>
      <c r="K772" s="68"/>
      <c r="L772" s="68"/>
      <c r="M772" s="68"/>
      <c r="N772" s="68"/>
      <c r="O772" s="68"/>
      <c r="P772" s="68"/>
      <c r="Q772" s="125"/>
      <c r="R772" s="68"/>
    </row>
    <row r="773" spans="1:18" ht="33.75" customHeight="1">
      <c r="A773" s="68"/>
      <c r="B773" s="68"/>
      <c r="C773" s="68"/>
      <c r="D773" s="68"/>
      <c r="E773" s="68"/>
      <c r="F773" s="68"/>
      <c r="G773" s="68"/>
      <c r="H773" s="68"/>
      <c r="I773" s="68"/>
      <c r="J773" s="68"/>
      <c r="K773" s="68"/>
      <c r="L773" s="68"/>
      <c r="M773" s="68"/>
      <c r="N773" s="68"/>
      <c r="O773" s="68"/>
      <c r="P773" s="68"/>
      <c r="Q773" s="125"/>
      <c r="R773" s="68"/>
    </row>
    <row r="774" spans="1:18" ht="33.75" customHeight="1">
      <c r="A774" s="68"/>
      <c r="B774" s="68"/>
      <c r="C774" s="68"/>
      <c r="D774" s="68"/>
      <c r="E774" s="68"/>
      <c r="F774" s="68"/>
      <c r="G774" s="68"/>
      <c r="H774" s="68"/>
      <c r="I774" s="68"/>
      <c r="J774" s="68"/>
      <c r="K774" s="68"/>
      <c r="L774" s="68"/>
      <c r="M774" s="68"/>
      <c r="N774" s="68"/>
      <c r="O774" s="68"/>
      <c r="P774" s="68"/>
      <c r="Q774" s="125"/>
      <c r="R774" s="68"/>
    </row>
    <row r="775" spans="1:18" ht="33.75" customHeight="1">
      <c r="A775" s="68"/>
      <c r="B775" s="68"/>
      <c r="C775" s="68"/>
      <c r="D775" s="68"/>
      <c r="E775" s="68"/>
      <c r="F775" s="68"/>
      <c r="G775" s="68"/>
      <c r="H775" s="68"/>
      <c r="I775" s="68"/>
      <c r="J775" s="68"/>
      <c r="K775" s="68"/>
      <c r="L775" s="68"/>
      <c r="M775" s="68"/>
      <c r="N775" s="68"/>
      <c r="O775" s="68"/>
      <c r="P775" s="68"/>
      <c r="Q775" s="125"/>
      <c r="R775" s="68"/>
    </row>
    <row r="776" spans="1:18" ht="33.75" customHeight="1">
      <c r="A776" s="68"/>
      <c r="B776" s="68"/>
      <c r="C776" s="68"/>
      <c r="D776" s="68"/>
      <c r="E776" s="68"/>
      <c r="F776" s="68"/>
      <c r="G776" s="68"/>
      <c r="H776" s="68"/>
      <c r="I776" s="68"/>
      <c r="J776" s="68"/>
      <c r="K776" s="68"/>
      <c r="L776" s="68"/>
      <c r="M776" s="68"/>
      <c r="N776" s="68"/>
      <c r="O776" s="68"/>
      <c r="P776" s="68"/>
      <c r="Q776" s="125"/>
      <c r="R776" s="68"/>
    </row>
    <row r="777" spans="1:18" ht="33.75" customHeight="1">
      <c r="A777" s="68"/>
      <c r="B777" s="68"/>
      <c r="C777" s="68"/>
      <c r="D777" s="68"/>
      <c r="E777" s="68"/>
      <c r="F777" s="68"/>
      <c r="G777" s="68"/>
      <c r="H777" s="68"/>
      <c r="I777" s="68"/>
      <c r="J777" s="68"/>
      <c r="K777" s="68"/>
      <c r="L777" s="68"/>
      <c r="M777" s="68"/>
      <c r="N777" s="68"/>
      <c r="O777" s="68"/>
      <c r="P777" s="68"/>
      <c r="Q777" s="125"/>
      <c r="R777" s="68"/>
    </row>
    <row r="778" spans="1:18" ht="33.75" customHeight="1">
      <c r="A778" s="68"/>
      <c r="B778" s="68"/>
      <c r="C778" s="68"/>
      <c r="D778" s="68"/>
      <c r="E778" s="68"/>
      <c r="F778" s="68"/>
      <c r="G778" s="68"/>
      <c r="H778" s="68"/>
      <c r="I778" s="68"/>
      <c r="J778" s="68"/>
      <c r="K778" s="68"/>
      <c r="L778" s="68"/>
      <c r="M778" s="68"/>
      <c r="N778" s="68"/>
      <c r="O778" s="68"/>
      <c r="P778" s="68"/>
      <c r="Q778" s="125"/>
      <c r="R778" s="68"/>
    </row>
    <row r="779" spans="1:18" ht="33.75" customHeight="1">
      <c r="A779" s="68"/>
      <c r="B779" s="68"/>
      <c r="C779" s="68"/>
      <c r="D779" s="68"/>
      <c r="E779" s="68"/>
      <c r="F779" s="68"/>
      <c r="G779" s="68"/>
      <c r="H779" s="68"/>
      <c r="I779" s="68"/>
      <c r="J779" s="68"/>
      <c r="K779" s="68"/>
      <c r="L779" s="68"/>
      <c r="M779" s="68"/>
      <c r="N779" s="68"/>
      <c r="O779" s="68"/>
      <c r="P779" s="68"/>
      <c r="Q779" s="125"/>
      <c r="R779" s="68"/>
    </row>
    <row r="780" spans="1:18" ht="33.75" customHeight="1">
      <c r="A780" s="68"/>
      <c r="B780" s="68"/>
      <c r="C780" s="68"/>
      <c r="D780" s="68"/>
      <c r="E780" s="68"/>
      <c r="F780" s="68"/>
      <c r="G780" s="68"/>
      <c r="H780" s="68"/>
      <c r="I780" s="68"/>
      <c r="J780" s="68"/>
      <c r="K780" s="68"/>
      <c r="L780" s="68"/>
      <c r="M780" s="68"/>
      <c r="N780" s="68"/>
      <c r="O780" s="68"/>
      <c r="P780" s="68"/>
      <c r="Q780" s="125"/>
      <c r="R780" s="68"/>
    </row>
    <row r="781" spans="1:18" ht="33.75" customHeight="1">
      <c r="A781" s="68"/>
      <c r="B781" s="68"/>
      <c r="C781" s="68"/>
      <c r="D781" s="68"/>
      <c r="E781" s="68"/>
      <c r="F781" s="68"/>
      <c r="G781" s="68"/>
      <c r="H781" s="68"/>
      <c r="I781" s="68"/>
      <c r="J781" s="68"/>
      <c r="K781" s="68"/>
      <c r="L781" s="68"/>
      <c r="M781" s="68"/>
      <c r="N781" s="68"/>
      <c r="O781" s="68"/>
      <c r="P781" s="68"/>
      <c r="Q781" s="125"/>
      <c r="R781" s="68"/>
    </row>
    <row r="782" spans="1:18" ht="33.75" customHeight="1">
      <c r="A782" s="68"/>
      <c r="B782" s="68"/>
      <c r="C782" s="68"/>
      <c r="D782" s="68"/>
      <c r="E782" s="68"/>
      <c r="F782" s="68"/>
      <c r="G782" s="68"/>
      <c r="H782" s="68"/>
      <c r="I782" s="68"/>
      <c r="J782" s="68"/>
      <c r="K782" s="68"/>
      <c r="L782" s="68"/>
      <c r="M782" s="68"/>
      <c r="N782" s="68"/>
      <c r="O782" s="68"/>
      <c r="P782" s="68"/>
      <c r="Q782" s="125"/>
      <c r="R782" s="68"/>
    </row>
    <row r="783" spans="1:18" ht="33.75" customHeight="1">
      <c r="A783" s="68"/>
      <c r="B783" s="68"/>
      <c r="C783" s="68"/>
      <c r="D783" s="68"/>
      <c r="E783" s="68"/>
      <c r="F783" s="68"/>
      <c r="G783" s="68"/>
      <c r="H783" s="68"/>
      <c r="I783" s="68"/>
      <c r="J783" s="68"/>
      <c r="K783" s="68"/>
      <c r="L783" s="68"/>
      <c r="M783" s="68"/>
      <c r="N783" s="68"/>
      <c r="O783" s="68"/>
      <c r="P783" s="68"/>
      <c r="Q783" s="125"/>
      <c r="R783" s="68"/>
    </row>
    <row r="784" spans="1:18" ht="33.75" customHeight="1">
      <c r="A784" s="68"/>
      <c r="B784" s="68"/>
      <c r="C784" s="68"/>
      <c r="D784" s="68"/>
      <c r="E784" s="68"/>
      <c r="F784" s="68"/>
      <c r="G784" s="68"/>
      <c r="H784" s="68"/>
      <c r="I784" s="68"/>
      <c r="J784" s="68"/>
      <c r="K784" s="68"/>
      <c r="L784" s="68"/>
      <c r="M784" s="68"/>
      <c r="N784" s="68"/>
      <c r="O784" s="68"/>
      <c r="P784" s="68"/>
      <c r="Q784" s="125"/>
      <c r="R784" s="68"/>
    </row>
    <row r="785" spans="1:18" ht="33.75" customHeight="1">
      <c r="A785" s="68"/>
      <c r="B785" s="68"/>
      <c r="C785" s="68"/>
      <c r="D785" s="68"/>
      <c r="E785" s="68"/>
      <c r="F785" s="68"/>
      <c r="G785" s="68"/>
      <c r="H785" s="68"/>
      <c r="I785" s="68"/>
      <c r="J785" s="68"/>
      <c r="K785" s="68"/>
      <c r="L785" s="68"/>
      <c r="M785" s="68"/>
      <c r="N785" s="68"/>
      <c r="O785" s="68"/>
      <c r="P785" s="68"/>
      <c r="Q785" s="125"/>
      <c r="R785" s="68"/>
    </row>
    <row r="786" spans="1:18" ht="33.75" customHeight="1">
      <c r="A786" s="68"/>
      <c r="B786" s="68"/>
      <c r="C786" s="68"/>
      <c r="D786" s="68"/>
      <c r="E786" s="68"/>
      <c r="F786" s="68"/>
      <c r="G786" s="68"/>
      <c r="H786" s="68"/>
      <c r="I786" s="68"/>
      <c r="J786" s="68"/>
      <c r="K786" s="68"/>
      <c r="L786" s="68"/>
      <c r="M786" s="68"/>
      <c r="N786" s="68"/>
      <c r="O786" s="68"/>
      <c r="P786" s="68"/>
      <c r="Q786" s="125"/>
      <c r="R786" s="68"/>
    </row>
    <row r="787" spans="1:18" ht="33.75" customHeight="1">
      <c r="A787" s="68"/>
      <c r="B787" s="68"/>
      <c r="C787" s="68"/>
      <c r="D787" s="68"/>
      <c r="E787" s="68"/>
      <c r="F787" s="68"/>
      <c r="G787" s="68"/>
      <c r="H787" s="68"/>
      <c r="I787" s="68"/>
      <c r="J787" s="68"/>
      <c r="K787" s="68"/>
      <c r="L787" s="68"/>
      <c r="M787" s="68"/>
      <c r="N787" s="68"/>
      <c r="O787" s="68"/>
      <c r="P787" s="68"/>
      <c r="Q787" s="125"/>
      <c r="R787" s="68"/>
    </row>
    <row r="788" spans="1:18" ht="33.75" customHeight="1">
      <c r="A788" s="68"/>
      <c r="B788" s="68"/>
      <c r="C788" s="68"/>
      <c r="D788" s="68"/>
      <c r="E788" s="68"/>
      <c r="F788" s="68"/>
      <c r="G788" s="68"/>
      <c r="H788" s="68"/>
      <c r="I788" s="68"/>
      <c r="J788" s="68"/>
      <c r="K788" s="68"/>
      <c r="L788" s="68"/>
      <c r="M788" s="68"/>
      <c r="N788" s="68"/>
      <c r="O788" s="68"/>
      <c r="P788" s="68"/>
      <c r="Q788" s="125"/>
      <c r="R788" s="68"/>
    </row>
    <row r="789" spans="1:18" ht="33.75" customHeight="1">
      <c r="A789" s="68"/>
      <c r="B789" s="68"/>
      <c r="C789" s="68"/>
      <c r="D789" s="68"/>
      <c r="E789" s="68"/>
      <c r="F789" s="68"/>
      <c r="G789" s="68"/>
      <c r="H789" s="68"/>
      <c r="I789" s="68"/>
      <c r="J789" s="68"/>
      <c r="K789" s="68"/>
      <c r="L789" s="68"/>
      <c r="M789" s="68"/>
      <c r="N789" s="68"/>
      <c r="O789" s="68"/>
      <c r="P789" s="68"/>
      <c r="Q789" s="125"/>
      <c r="R789" s="68"/>
    </row>
    <row r="790" spans="1:18" ht="33.75" customHeight="1">
      <c r="A790" s="68"/>
      <c r="B790" s="68"/>
      <c r="C790" s="68"/>
      <c r="D790" s="68"/>
      <c r="E790" s="68"/>
      <c r="F790" s="68"/>
      <c r="G790" s="68"/>
      <c r="H790" s="68"/>
      <c r="I790" s="68"/>
      <c r="J790" s="68"/>
      <c r="K790" s="68"/>
      <c r="L790" s="68"/>
      <c r="M790" s="68"/>
      <c r="N790" s="68"/>
      <c r="O790" s="68"/>
      <c r="P790" s="68"/>
      <c r="Q790" s="125"/>
      <c r="R790" s="68"/>
    </row>
    <row r="791" spans="1:18" ht="33.75" customHeight="1">
      <c r="A791" s="68"/>
      <c r="B791" s="68"/>
      <c r="C791" s="68"/>
      <c r="D791" s="68"/>
      <c r="E791" s="68"/>
      <c r="F791" s="68"/>
      <c r="G791" s="68"/>
      <c r="H791" s="68"/>
      <c r="I791" s="68"/>
      <c r="J791" s="68"/>
      <c r="K791" s="68"/>
      <c r="L791" s="68"/>
      <c r="M791" s="68"/>
      <c r="N791" s="68"/>
      <c r="O791" s="68"/>
      <c r="P791" s="68"/>
      <c r="Q791" s="125"/>
      <c r="R791" s="68"/>
    </row>
    <row r="792" spans="1:18" ht="33.75" customHeight="1">
      <c r="A792" s="68"/>
      <c r="B792" s="68"/>
      <c r="C792" s="68"/>
      <c r="D792" s="68"/>
      <c r="E792" s="68"/>
      <c r="F792" s="68"/>
      <c r="G792" s="68"/>
      <c r="H792" s="68"/>
      <c r="I792" s="68"/>
      <c r="J792" s="68"/>
      <c r="K792" s="68"/>
      <c r="L792" s="68"/>
      <c r="M792" s="68"/>
      <c r="N792" s="68"/>
      <c r="O792" s="68"/>
      <c r="P792" s="68"/>
      <c r="Q792" s="125"/>
      <c r="R792" s="68"/>
    </row>
    <row r="793" spans="1:18" ht="33.75" customHeight="1">
      <c r="A793" s="68"/>
      <c r="B793" s="68"/>
      <c r="C793" s="68"/>
      <c r="D793" s="68"/>
      <c r="E793" s="68"/>
      <c r="F793" s="68"/>
      <c r="G793" s="68"/>
      <c r="H793" s="68"/>
      <c r="I793" s="68"/>
      <c r="J793" s="68"/>
      <c r="K793" s="68"/>
      <c r="L793" s="68"/>
      <c r="M793" s="68"/>
      <c r="N793" s="68"/>
      <c r="O793" s="68"/>
      <c r="P793" s="68"/>
      <c r="Q793" s="125"/>
      <c r="R793" s="68"/>
    </row>
    <row r="794" spans="1:18" ht="33.75" customHeight="1">
      <c r="A794" s="68"/>
      <c r="B794" s="68"/>
      <c r="C794" s="68"/>
      <c r="D794" s="68"/>
      <c r="E794" s="68"/>
      <c r="F794" s="68"/>
      <c r="G794" s="68"/>
      <c r="H794" s="68"/>
      <c r="I794" s="68"/>
      <c r="J794" s="68"/>
      <c r="K794" s="68"/>
      <c r="L794" s="68"/>
      <c r="M794" s="68"/>
      <c r="N794" s="68"/>
      <c r="O794" s="68"/>
      <c r="P794" s="68"/>
      <c r="Q794" s="125"/>
      <c r="R794" s="68"/>
    </row>
    <row r="795" spans="1:18" ht="33.75" customHeight="1">
      <c r="A795" s="68"/>
      <c r="B795" s="68"/>
      <c r="C795" s="68"/>
      <c r="D795" s="68"/>
      <c r="E795" s="68"/>
      <c r="F795" s="68"/>
      <c r="G795" s="68"/>
      <c r="H795" s="68"/>
      <c r="I795" s="68"/>
      <c r="J795" s="68"/>
      <c r="K795" s="68"/>
      <c r="L795" s="68"/>
      <c r="M795" s="68"/>
      <c r="N795" s="68"/>
      <c r="O795" s="68"/>
      <c r="P795" s="68"/>
      <c r="Q795" s="125"/>
      <c r="R795" s="68"/>
    </row>
    <row r="796" spans="1:18" ht="33.75" customHeight="1">
      <c r="A796" s="68"/>
      <c r="B796" s="68"/>
      <c r="C796" s="68"/>
      <c r="D796" s="68"/>
      <c r="E796" s="68"/>
      <c r="F796" s="68"/>
      <c r="G796" s="68"/>
      <c r="H796" s="68"/>
      <c r="I796" s="68"/>
      <c r="J796" s="68"/>
      <c r="K796" s="68"/>
      <c r="L796" s="68"/>
      <c r="M796" s="68"/>
      <c r="N796" s="68"/>
      <c r="O796" s="68"/>
      <c r="P796" s="68"/>
      <c r="Q796" s="125"/>
      <c r="R796" s="68"/>
    </row>
    <row r="797" spans="1:18" ht="33.75" customHeight="1">
      <c r="A797" s="68"/>
      <c r="B797" s="68"/>
      <c r="C797" s="68"/>
      <c r="D797" s="68"/>
      <c r="E797" s="68"/>
      <c r="F797" s="68"/>
      <c r="G797" s="68"/>
      <c r="H797" s="68"/>
      <c r="I797" s="68"/>
      <c r="J797" s="68"/>
      <c r="K797" s="68"/>
      <c r="L797" s="68"/>
      <c r="M797" s="68"/>
      <c r="N797" s="68"/>
      <c r="O797" s="68"/>
      <c r="P797" s="68"/>
      <c r="Q797" s="125"/>
      <c r="R797" s="68"/>
    </row>
    <row r="798" spans="1:18" ht="33.75" customHeight="1">
      <c r="A798" s="68"/>
      <c r="B798" s="68"/>
      <c r="C798" s="68"/>
      <c r="D798" s="68"/>
      <c r="E798" s="68"/>
      <c r="F798" s="68"/>
      <c r="G798" s="68"/>
      <c r="H798" s="68"/>
      <c r="I798" s="68"/>
      <c r="J798" s="68"/>
      <c r="K798" s="68"/>
      <c r="L798" s="68"/>
      <c r="M798" s="68"/>
      <c r="N798" s="68"/>
      <c r="O798" s="68"/>
      <c r="P798" s="68"/>
      <c r="Q798" s="125"/>
      <c r="R798" s="68"/>
    </row>
    <row r="799" spans="1:18" ht="33.75" customHeight="1">
      <c r="A799" s="68"/>
      <c r="B799" s="68"/>
      <c r="C799" s="68"/>
      <c r="D799" s="68"/>
      <c r="E799" s="68"/>
      <c r="F799" s="68"/>
      <c r="G799" s="68"/>
      <c r="H799" s="68"/>
      <c r="I799" s="68"/>
      <c r="J799" s="68"/>
      <c r="K799" s="68"/>
      <c r="L799" s="68"/>
      <c r="M799" s="68"/>
      <c r="N799" s="68"/>
      <c r="O799" s="68"/>
      <c r="P799" s="68"/>
      <c r="Q799" s="125"/>
      <c r="R799" s="68"/>
    </row>
    <row r="800" spans="1:18" ht="33.75" customHeight="1">
      <c r="A800" s="68"/>
      <c r="B800" s="68"/>
      <c r="C800" s="68"/>
      <c r="D800" s="68"/>
      <c r="E800" s="68"/>
      <c r="F800" s="68"/>
      <c r="G800" s="68"/>
      <c r="H800" s="68"/>
      <c r="I800" s="68"/>
      <c r="J800" s="68"/>
      <c r="K800" s="68"/>
      <c r="L800" s="68"/>
      <c r="M800" s="68"/>
      <c r="N800" s="68"/>
      <c r="O800" s="68"/>
      <c r="P800" s="68"/>
      <c r="Q800" s="125"/>
      <c r="R800" s="68"/>
    </row>
    <row r="801" spans="1:18" ht="33.75" customHeight="1">
      <c r="A801" s="68"/>
      <c r="B801" s="68"/>
      <c r="C801" s="68"/>
      <c r="D801" s="68"/>
      <c r="E801" s="68"/>
      <c r="F801" s="68"/>
      <c r="G801" s="68"/>
      <c r="H801" s="68"/>
      <c r="I801" s="68"/>
      <c r="J801" s="68"/>
      <c r="K801" s="68"/>
      <c r="L801" s="68"/>
      <c r="M801" s="68"/>
      <c r="N801" s="68"/>
      <c r="O801" s="68"/>
      <c r="P801" s="68"/>
      <c r="Q801" s="125"/>
      <c r="R801" s="68"/>
    </row>
    <row r="802" spans="1:18" ht="33.75" customHeight="1">
      <c r="A802" s="68"/>
      <c r="B802" s="68"/>
      <c r="C802" s="68"/>
      <c r="D802" s="68"/>
      <c r="E802" s="68"/>
      <c r="F802" s="68"/>
      <c r="G802" s="68"/>
      <c r="H802" s="68"/>
      <c r="I802" s="68"/>
      <c r="J802" s="68"/>
      <c r="K802" s="68"/>
      <c r="L802" s="68"/>
      <c r="M802" s="68"/>
      <c r="N802" s="68"/>
      <c r="O802" s="68"/>
      <c r="P802" s="68"/>
      <c r="Q802" s="125"/>
      <c r="R802" s="68"/>
    </row>
    <row r="803" spans="1:18" ht="33.75" customHeight="1">
      <c r="A803" s="68"/>
      <c r="B803" s="68"/>
      <c r="C803" s="68"/>
      <c r="D803" s="68"/>
      <c r="E803" s="68"/>
      <c r="F803" s="68"/>
      <c r="G803" s="68"/>
      <c r="H803" s="68"/>
      <c r="I803" s="68"/>
      <c r="J803" s="68"/>
      <c r="K803" s="68"/>
      <c r="L803" s="68"/>
      <c r="M803" s="68"/>
      <c r="N803" s="68"/>
      <c r="O803" s="68"/>
      <c r="P803" s="68"/>
      <c r="Q803" s="125"/>
      <c r="R803" s="68"/>
    </row>
    <row r="804" spans="1:18" ht="33.75" customHeight="1">
      <c r="A804" s="68"/>
      <c r="B804" s="68"/>
      <c r="C804" s="68"/>
      <c r="D804" s="68"/>
      <c r="E804" s="68"/>
      <c r="F804" s="68"/>
      <c r="G804" s="68"/>
      <c r="H804" s="68"/>
      <c r="I804" s="68"/>
      <c r="J804" s="68"/>
      <c r="K804" s="68"/>
      <c r="L804" s="68"/>
      <c r="M804" s="68"/>
      <c r="N804" s="68"/>
      <c r="O804" s="68"/>
      <c r="P804" s="68"/>
      <c r="Q804" s="125"/>
      <c r="R804" s="68"/>
    </row>
    <row r="805" spans="1:18" ht="33.75" customHeight="1">
      <c r="A805" s="68"/>
      <c r="B805" s="68"/>
      <c r="C805" s="68"/>
      <c r="D805" s="68"/>
      <c r="E805" s="68"/>
      <c r="F805" s="68"/>
      <c r="G805" s="68"/>
      <c r="H805" s="68"/>
      <c r="I805" s="68"/>
      <c r="J805" s="68"/>
      <c r="K805" s="68"/>
      <c r="L805" s="68"/>
      <c r="M805" s="68"/>
      <c r="N805" s="68"/>
      <c r="O805" s="68"/>
      <c r="P805" s="68"/>
      <c r="Q805" s="125"/>
      <c r="R805" s="68"/>
    </row>
    <row r="806" spans="1:18" ht="33.75" customHeight="1">
      <c r="A806" s="68"/>
      <c r="B806" s="68"/>
      <c r="C806" s="68"/>
      <c r="D806" s="68"/>
      <c r="E806" s="68"/>
      <c r="F806" s="68"/>
      <c r="G806" s="68"/>
      <c r="H806" s="68"/>
      <c r="I806" s="68"/>
      <c r="J806" s="68"/>
      <c r="K806" s="68"/>
      <c r="L806" s="68"/>
      <c r="M806" s="68"/>
      <c r="N806" s="68"/>
      <c r="O806" s="68"/>
      <c r="P806" s="68"/>
      <c r="Q806" s="125"/>
      <c r="R806" s="68"/>
    </row>
    <row r="807" spans="1:18" ht="33.75" customHeight="1">
      <c r="A807" s="68"/>
      <c r="B807" s="68"/>
      <c r="C807" s="68"/>
      <c r="D807" s="68"/>
      <c r="E807" s="68"/>
      <c r="F807" s="68"/>
      <c r="G807" s="68"/>
      <c r="H807" s="68"/>
      <c r="I807" s="68"/>
      <c r="J807" s="68"/>
      <c r="K807" s="68"/>
      <c r="L807" s="68"/>
      <c r="M807" s="68"/>
      <c r="N807" s="68"/>
      <c r="O807" s="68"/>
      <c r="P807" s="68"/>
      <c r="Q807" s="125"/>
      <c r="R807" s="68"/>
    </row>
    <row r="808" spans="1:18" ht="33.75" customHeight="1">
      <c r="A808" s="68"/>
      <c r="B808" s="68"/>
      <c r="C808" s="68"/>
      <c r="D808" s="68"/>
      <c r="E808" s="68"/>
      <c r="F808" s="68"/>
      <c r="G808" s="68"/>
      <c r="H808" s="68"/>
      <c r="I808" s="68"/>
      <c r="J808" s="68"/>
      <c r="K808" s="68"/>
      <c r="L808" s="68"/>
      <c r="M808" s="68"/>
      <c r="N808" s="68"/>
      <c r="O808" s="68"/>
      <c r="P808" s="68"/>
      <c r="Q808" s="125"/>
      <c r="R808" s="68"/>
    </row>
    <row r="809" spans="1:18" ht="33.75" customHeight="1">
      <c r="A809" s="68"/>
      <c r="B809" s="68"/>
      <c r="C809" s="68"/>
      <c r="D809" s="68"/>
      <c r="E809" s="68"/>
      <c r="F809" s="68"/>
      <c r="G809" s="68"/>
      <c r="H809" s="68"/>
      <c r="I809" s="68"/>
      <c r="J809" s="68"/>
      <c r="K809" s="68"/>
      <c r="L809" s="68"/>
      <c r="M809" s="68"/>
      <c r="N809" s="68"/>
      <c r="O809" s="68"/>
      <c r="P809" s="68"/>
      <c r="Q809" s="125"/>
      <c r="R809" s="68"/>
    </row>
    <row r="810" spans="1:18" ht="33.75" customHeight="1">
      <c r="A810" s="68"/>
      <c r="B810" s="68"/>
      <c r="C810" s="68"/>
      <c r="D810" s="68"/>
      <c r="E810" s="68"/>
      <c r="F810" s="68"/>
      <c r="G810" s="68"/>
      <c r="H810" s="68"/>
      <c r="I810" s="68"/>
      <c r="J810" s="68"/>
      <c r="K810" s="68"/>
      <c r="L810" s="68"/>
      <c r="M810" s="68"/>
      <c r="N810" s="68"/>
      <c r="O810" s="68"/>
      <c r="P810" s="68"/>
      <c r="Q810" s="125"/>
      <c r="R810" s="68"/>
    </row>
    <row r="811" spans="1:18" ht="33.75" customHeight="1">
      <c r="A811" s="68"/>
      <c r="B811" s="68"/>
      <c r="C811" s="68"/>
      <c r="D811" s="68"/>
      <c r="E811" s="68"/>
      <c r="F811" s="68"/>
      <c r="G811" s="68"/>
      <c r="H811" s="68"/>
      <c r="I811" s="68"/>
      <c r="J811" s="68"/>
      <c r="K811" s="68"/>
      <c r="L811" s="68"/>
      <c r="M811" s="68"/>
      <c r="N811" s="68"/>
      <c r="O811" s="68"/>
      <c r="P811" s="68"/>
      <c r="Q811" s="125"/>
      <c r="R811" s="68"/>
    </row>
    <row r="812" spans="1:18" ht="33.75" customHeight="1">
      <c r="A812" s="68"/>
      <c r="B812" s="68"/>
      <c r="C812" s="68"/>
      <c r="D812" s="68"/>
      <c r="E812" s="68"/>
      <c r="F812" s="68"/>
      <c r="G812" s="68"/>
      <c r="H812" s="68"/>
      <c r="I812" s="68"/>
      <c r="J812" s="68"/>
      <c r="K812" s="68"/>
      <c r="L812" s="68"/>
      <c r="M812" s="68"/>
      <c r="N812" s="68"/>
      <c r="O812" s="68"/>
      <c r="P812" s="68"/>
      <c r="Q812" s="125"/>
      <c r="R812" s="68"/>
    </row>
    <row r="813" spans="1:18" ht="33.75" customHeight="1">
      <c r="A813" s="68"/>
      <c r="B813" s="68"/>
      <c r="C813" s="68"/>
      <c r="D813" s="68"/>
      <c r="E813" s="68"/>
      <c r="F813" s="68"/>
      <c r="G813" s="68"/>
      <c r="H813" s="68"/>
      <c r="I813" s="68"/>
      <c r="J813" s="68"/>
      <c r="K813" s="68"/>
      <c r="L813" s="68"/>
      <c r="M813" s="68"/>
      <c r="N813" s="68"/>
      <c r="O813" s="68"/>
      <c r="P813" s="68"/>
      <c r="Q813" s="125"/>
      <c r="R813" s="68"/>
    </row>
    <row r="814" spans="1:18" ht="33.75" customHeight="1">
      <c r="A814" s="68"/>
      <c r="B814" s="68"/>
      <c r="C814" s="68"/>
      <c r="D814" s="68"/>
      <c r="E814" s="68"/>
      <c r="F814" s="68"/>
      <c r="G814" s="68"/>
      <c r="H814" s="68"/>
      <c r="I814" s="68"/>
      <c r="J814" s="68"/>
      <c r="K814" s="68"/>
      <c r="L814" s="68"/>
      <c r="M814" s="68"/>
      <c r="N814" s="68"/>
      <c r="O814" s="68"/>
      <c r="P814" s="68"/>
      <c r="Q814" s="125"/>
      <c r="R814" s="68"/>
    </row>
    <row r="815" spans="1:18" ht="33.75" customHeight="1">
      <c r="A815" s="68"/>
      <c r="B815" s="68"/>
      <c r="C815" s="68"/>
      <c r="D815" s="68"/>
      <c r="E815" s="68"/>
      <c r="F815" s="68"/>
      <c r="G815" s="68"/>
      <c r="H815" s="68"/>
      <c r="I815" s="68"/>
      <c r="J815" s="68"/>
      <c r="K815" s="68"/>
      <c r="L815" s="68"/>
      <c r="M815" s="68"/>
      <c r="N815" s="68"/>
      <c r="O815" s="68"/>
      <c r="P815" s="68"/>
      <c r="Q815" s="125"/>
      <c r="R815" s="68"/>
    </row>
    <row r="816" spans="1:18" ht="33.75" customHeight="1">
      <c r="A816" s="68"/>
      <c r="B816" s="68"/>
      <c r="C816" s="68"/>
      <c r="D816" s="68"/>
      <c r="E816" s="68"/>
      <c r="F816" s="68"/>
      <c r="G816" s="68"/>
      <c r="H816" s="68"/>
      <c r="I816" s="68"/>
      <c r="J816" s="68"/>
      <c r="K816" s="68"/>
      <c r="L816" s="68"/>
      <c r="M816" s="68"/>
      <c r="N816" s="68"/>
      <c r="O816" s="68"/>
      <c r="P816" s="68"/>
      <c r="Q816" s="125"/>
      <c r="R816" s="68"/>
    </row>
    <row r="817" spans="1:18" ht="33.75" customHeight="1">
      <c r="A817" s="68"/>
      <c r="B817" s="68"/>
      <c r="C817" s="68"/>
      <c r="D817" s="68"/>
      <c r="E817" s="68"/>
      <c r="F817" s="68"/>
      <c r="G817" s="68"/>
      <c r="H817" s="68"/>
      <c r="I817" s="68"/>
      <c r="J817" s="68"/>
      <c r="K817" s="68"/>
      <c r="L817" s="68"/>
      <c r="M817" s="68"/>
      <c r="N817" s="68"/>
      <c r="O817" s="68"/>
      <c r="P817" s="68"/>
      <c r="Q817" s="125"/>
      <c r="R817" s="68"/>
    </row>
    <row r="818" spans="1:18" ht="33.75" customHeight="1">
      <c r="A818" s="68"/>
      <c r="B818" s="68"/>
      <c r="C818" s="68"/>
      <c r="D818" s="68"/>
      <c r="E818" s="68"/>
      <c r="F818" s="68"/>
      <c r="G818" s="68"/>
      <c r="H818" s="68"/>
      <c r="I818" s="68"/>
      <c r="J818" s="68"/>
      <c r="K818" s="68"/>
      <c r="L818" s="68"/>
      <c r="M818" s="68"/>
      <c r="N818" s="68"/>
      <c r="O818" s="68"/>
      <c r="P818" s="68"/>
      <c r="Q818" s="125"/>
      <c r="R818" s="68"/>
    </row>
    <row r="819" spans="1:18" ht="33.75" customHeight="1">
      <c r="A819" s="68"/>
      <c r="B819" s="68"/>
      <c r="C819" s="68"/>
      <c r="D819" s="68"/>
      <c r="E819" s="68"/>
      <c r="F819" s="68"/>
      <c r="G819" s="68"/>
      <c r="H819" s="68"/>
      <c r="I819" s="68"/>
      <c r="J819" s="68"/>
      <c r="K819" s="68"/>
      <c r="L819" s="68"/>
      <c r="M819" s="68"/>
      <c r="N819" s="68"/>
      <c r="O819" s="68"/>
      <c r="P819" s="68"/>
      <c r="Q819" s="125"/>
      <c r="R819" s="68"/>
    </row>
    <row r="820" spans="1:18" ht="33.75" customHeight="1">
      <c r="A820" s="68"/>
      <c r="B820" s="68"/>
      <c r="C820" s="68"/>
      <c r="D820" s="68"/>
      <c r="E820" s="68"/>
      <c r="F820" s="68"/>
      <c r="G820" s="68"/>
      <c r="H820" s="68"/>
      <c r="I820" s="68"/>
      <c r="J820" s="68"/>
      <c r="K820" s="68"/>
      <c r="L820" s="68"/>
      <c r="M820" s="68"/>
      <c r="N820" s="68"/>
      <c r="O820" s="68"/>
      <c r="P820" s="68"/>
      <c r="Q820" s="125"/>
      <c r="R820" s="68"/>
    </row>
    <row r="821" spans="1:18" ht="33.75" customHeight="1">
      <c r="A821" s="68"/>
      <c r="B821" s="68"/>
      <c r="C821" s="68"/>
      <c r="D821" s="68"/>
      <c r="E821" s="68"/>
      <c r="F821" s="68"/>
      <c r="G821" s="68"/>
      <c r="H821" s="68"/>
      <c r="I821" s="68"/>
      <c r="J821" s="68"/>
      <c r="K821" s="68"/>
      <c r="L821" s="68"/>
      <c r="M821" s="68"/>
      <c r="N821" s="68"/>
      <c r="O821" s="68"/>
      <c r="P821" s="68"/>
      <c r="Q821" s="125"/>
      <c r="R821" s="68"/>
    </row>
    <row r="822" spans="1:18" ht="33.75" customHeight="1">
      <c r="A822" s="68"/>
      <c r="B822" s="68"/>
      <c r="C822" s="68"/>
      <c r="D822" s="68"/>
      <c r="E822" s="68"/>
      <c r="F822" s="68"/>
      <c r="G822" s="68"/>
      <c r="H822" s="68"/>
      <c r="I822" s="68"/>
      <c r="J822" s="68"/>
      <c r="K822" s="68"/>
      <c r="L822" s="68"/>
      <c r="M822" s="68"/>
      <c r="N822" s="68"/>
      <c r="O822" s="68"/>
      <c r="P822" s="68"/>
      <c r="Q822" s="125"/>
      <c r="R822" s="68"/>
    </row>
    <row r="823" spans="1:18" ht="33.75" customHeight="1">
      <c r="A823" s="68"/>
      <c r="B823" s="68"/>
      <c r="C823" s="68"/>
      <c r="D823" s="68"/>
      <c r="E823" s="68"/>
      <c r="F823" s="68"/>
      <c r="G823" s="68"/>
      <c r="H823" s="68"/>
      <c r="I823" s="68"/>
      <c r="J823" s="68"/>
      <c r="K823" s="68"/>
      <c r="L823" s="68"/>
      <c r="M823" s="68"/>
      <c r="N823" s="68"/>
      <c r="O823" s="68"/>
      <c r="P823" s="68"/>
      <c r="Q823" s="125"/>
      <c r="R823" s="68"/>
    </row>
    <row r="824" spans="1:18" ht="33.75" customHeight="1">
      <c r="A824" s="68"/>
      <c r="B824" s="68"/>
      <c r="C824" s="68"/>
      <c r="D824" s="68"/>
      <c r="E824" s="68"/>
      <c r="F824" s="68"/>
      <c r="G824" s="68"/>
      <c r="H824" s="68"/>
      <c r="I824" s="68"/>
      <c r="J824" s="68"/>
      <c r="K824" s="68"/>
      <c r="L824" s="68"/>
      <c r="M824" s="68"/>
      <c r="N824" s="68"/>
      <c r="O824" s="68"/>
      <c r="P824" s="68"/>
      <c r="Q824" s="125"/>
      <c r="R824" s="68"/>
    </row>
    <row r="825" spans="1:18" ht="33.75" customHeight="1">
      <c r="A825" s="68"/>
      <c r="B825" s="68"/>
      <c r="C825" s="68"/>
      <c r="D825" s="68"/>
      <c r="E825" s="68"/>
      <c r="F825" s="68"/>
      <c r="G825" s="68"/>
      <c r="H825" s="68"/>
      <c r="I825" s="68"/>
      <c r="J825" s="68"/>
      <c r="K825" s="68"/>
      <c r="L825" s="68"/>
      <c r="M825" s="68"/>
      <c r="N825" s="68"/>
      <c r="O825" s="68"/>
      <c r="P825" s="68"/>
      <c r="Q825" s="125"/>
      <c r="R825" s="68"/>
    </row>
    <row r="826" spans="1:18" ht="33.75" customHeight="1">
      <c r="A826" s="68"/>
      <c r="B826" s="68"/>
      <c r="C826" s="68"/>
      <c r="D826" s="68"/>
      <c r="E826" s="68"/>
      <c r="F826" s="68"/>
      <c r="G826" s="68"/>
      <c r="H826" s="68"/>
      <c r="I826" s="68"/>
      <c r="J826" s="68"/>
      <c r="K826" s="68"/>
      <c r="L826" s="68"/>
      <c r="M826" s="68"/>
      <c r="N826" s="68"/>
      <c r="O826" s="68"/>
      <c r="P826" s="68"/>
      <c r="Q826" s="125"/>
      <c r="R826" s="68"/>
    </row>
    <row r="827" spans="1:18" ht="33.75" customHeight="1">
      <c r="A827" s="68"/>
      <c r="B827" s="68"/>
      <c r="C827" s="68"/>
      <c r="D827" s="68"/>
      <c r="E827" s="68"/>
      <c r="F827" s="68"/>
      <c r="G827" s="68"/>
      <c r="H827" s="68"/>
      <c r="I827" s="68"/>
      <c r="J827" s="68"/>
      <c r="K827" s="68"/>
      <c r="L827" s="68"/>
      <c r="M827" s="68"/>
      <c r="N827" s="68"/>
      <c r="O827" s="68"/>
      <c r="P827" s="68"/>
      <c r="Q827" s="125"/>
      <c r="R827" s="68"/>
    </row>
    <row r="828" spans="1:18" ht="33.75" customHeight="1">
      <c r="A828" s="68"/>
      <c r="B828" s="68"/>
      <c r="C828" s="68"/>
      <c r="D828" s="68"/>
      <c r="E828" s="68"/>
      <c r="F828" s="68"/>
      <c r="G828" s="68"/>
      <c r="H828" s="68"/>
      <c r="I828" s="68"/>
      <c r="J828" s="68"/>
      <c r="K828" s="68"/>
      <c r="L828" s="68"/>
      <c r="M828" s="68"/>
      <c r="N828" s="68"/>
      <c r="O828" s="68"/>
      <c r="P828" s="68"/>
      <c r="Q828" s="125"/>
      <c r="R828" s="68"/>
    </row>
    <row r="829" spans="1:18" ht="33.75" customHeight="1">
      <c r="A829" s="68"/>
      <c r="B829" s="68"/>
      <c r="C829" s="68"/>
      <c r="D829" s="68"/>
      <c r="E829" s="68"/>
      <c r="F829" s="68"/>
      <c r="G829" s="68"/>
      <c r="H829" s="68"/>
      <c r="I829" s="68"/>
      <c r="J829" s="68"/>
      <c r="K829" s="68"/>
      <c r="L829" s="68"/>
      <c r="M829" s="68"/>
      <c r="N829" s="68"/>
      <c r="O829" s="68"/>
      <c r="P829" s="68"/>
      <c r="Q829" s="125"/>
      <c r="R829" s="68"/>
    </row>
    <row r="830" spans="1:18" ht="33.75" customHeight="1">
      <c r="A830" s="68"/>
      <c r="B830" s="68"/>
      <c r="C830" s="68"/>
      <c r="D830" s="68"/>
      <c r="E830" s="68"/>
      <c r="F830" s="68"/>
      <c r="G830" s="68"/>
      <c r="H830" s="68"/>
      <c r="I830" s="68"/>
      <c r="J830" s="68"/>
      <c r="K830" s="68"/>
      <c r="L830" s="68"/>
      <c r="M830" s="68"/>
      <c r="N830" s="68"/>
      <c r="O830" s="68"/>
      <c r="P830" s="68"/>
      <c r="Q830" s="125"/>
      <c r="R830" s="68"/>
    </row>
    <row r="831" spans="1:18" ht="33.75" customHeight="1">
      <c r="A831" s="68"/>
      <c r="B831" s="68"/>
      <c r="C831" s="68"/>
      <c r="D831" s="68"/>
      <c r="E831" s="68"/>
      <c r="F831" s="68"/>
      <c r="G831" s="68"/>
      <c r="H831" s="68"/>
      <c r="I831" s="68"/>
      <c r="J831" s="68"/>
      <c r="K831" s="68"/>
      <c r="L831" s="68"/>
      <c r="M831" s="68"/>
      <c r="N831" s="68"/>
      <c r="O831" s="68"/>
      <c r="P831" s="68"/>
      <c r="Q831" s="125"/>
      <c r="R831" s="68"/>
    </row>
    <row r="832" spans="1:18" ht="33.75" customHeight="1">
      <c r="A832" s="68"/>
      <c r="B832" s="68"/>
      <c r="C832" s="68"/>
      <c r="D832" s="68"/>
      <c r="E832" s="68"/>
      <c r="F832" s="68"/>
      <c r="G832" s="68"/>
      <c r="H832" s="68"/>
      <c r="I832" s="68"/>
      <c r="J832" s="68"/>
      <c r="K832" s="68"/>
      <c r="L832" s="68"/>
      <c r="M832" s="68"/>
      <c r="N832" s="68"/>
      <c r="O832" s="68"/>
      <c r="P832" s="68"/>
      <c r="Q832" s="125"/>
      <c r="R832" s="68"/>
    </row>
    <row r="833" spans="1:18" ht="33.75" customHeight="1">
      <c r="A833" s="68"/>
      <c r="B833" s="68"/>
      <c r="C833" s="68"/>
      <c r="D833" s="68"/>
      <c r="E833" s="68"/>
      <c r="F833" s="68"/>
      <c r="G833" s="68"/>
      <c r="H833" s="68"/>
      <c r="I833" s="68"/>
      <c r="J833" s="68"/>
      <c r="K833" s="68"/>
      <c r="L833" s="68"/>
      <c r="M833" s="68"/>
      <c r="N833" s="68"/>
      <c r="O833" s="68"/>
      <c r="P833" s="68"/>
      <c r="Q833" s="125"/>
      <c r="R833" s="68"/>
    </row>
    <row r="834" spans="1:18" ht="33.75" customHeight="1">
      <c r="A834" s="68"/>
      <c r="B834" s="68"/>
      <c r="C834" s="68"/>
      <c r="D834" s="68"/>
      <c r="E834" s="68"/>
      <c r="F834" s="68"/>
      <c r="G834" s="68"/>
      <c r="H834" s="68"/>
      <c r="I834" s="68"/>
      <c r="J834" s="68"/>
      <c r="K834" s="68"/>
      <c r="L834" s="68"/>
      <c r="M834" s="68"/>
      <c r="N834" s="68"/>
      <c r="O834" s="68"/>
      <c r="P834" s="68"/>
      <c r="Q834" s="125"/>
      <c r="R834" s="68"/>
    </row>
    <row r="835" spans="1:18" ht="33.75" customHeight="1">
      <c r="A835" s="68"/>
      <c r="B835" s="68"/>
      <c r="C835" s="68"/>
      <c r="D835" s="68"/>
      <c r="E835" s="68"/>
      <c r="F835" s="68"/>
      <c r="G835" s="68"/>
      <c r="H835" s="68"/>
      <c r="I835" s="68"/>
      <c r="J835" s="68"/>
      <c r="K835" s="68"/>
      <c r="L835" s="68"/>
      <c r="M835" s="68"/>
      <c r="N835" s="68"/>
      <c r="O835" s="68"/>
      <c r="P835" s="68"/>
      <c r="Q835" s="125"/>
      <c r="R835" s="68"/>
    </row>
    <row r="836" spans="1:18" ht="33.75" customHeight="1">
      <c r="A836" s="68"/>
      <c r="B836" s="68"/>
      <c r="C836" s="68"/>
      <c r="D836" s="68"/>
      <c r="E836" s="68"/>
      <c r="F836" s="68"/>
      <c r="G836" s="68"/>
      <c r="H836" s="68"/>
      <c r="I836" s="68"/>
      <c r="J836" s="68"/>
      <c r="K836" s="68"/>
      <c r="L836" s="68"/>
      <c r="M836" s="68"/>
      <c r="N836" s="68"/>
      <c r="O836" s="68"/>
      <c r="P836" s="68"/>
      <c r="Q836" s="125"/>
      <c r="R836" s="68"/>
    </row>
    <row r="837" spans="1:18" ht="33.75" customHeight="1">
      <c r="A837" s="68"/>
      <c r="B837" s="68"/>
      <c r="C837" s="68"/>
      <c r="D837" s="68"/>
      <c r="E837" s="68"/>
      <c r="F837" s="68"/>
      <c r="G837" s="68"/>
      <c r="H837" s="68"/>
      <c r="I837" s="68"/>
      <c r="J837" s="68"/>
      <c r="K837" s="68"/>
      <c r="L837" s="68"/>
      <c r="M837" s="68"/>
      <c r="N837" s="68"/>
      <c r="O837" s="68"/>
      <c r="P837" s="68"/>
      <c r="Q837" s="125"/>
      <c r="R837" s="68"/>
    </row>
    <row r="838" spans="1:18" ht="33.75" customHeight="1">
      <c r="A838" s="68"/>
      <c r="B838" s="68"/>
      <c r="C838" s="68"/>
      <c r="D838" s="68"/>
      <c r="E838" s="68"/>
      <c r="F838" s="68"/>
      <c r="G838" s="68"/>
      <c r="H838" s="68"/>
      <c r="I838" s="68"/>
      <c r="J838" s="68"/>
      <c r="K838" s="68"/>
      <c r="L838" s="68"/>
      <c r="M838" s="68"/>
      <c r="N838" s="68"/>
      <c r="O838" s="68"/>
      <c r="P838" s="68"/>
      <c r="Q838" s="125"/>
      <c r="R838" s="68"/>
    </row>
    <row r="839" spans="1:18" ht="33.75" customHeight="1">
      <c r="A839" s="68"/>
      <c r="B839" s="68"/>
      <c r="C839" s="68"/>
      <c r="D839" s="68"/>
      <c r="E839" s="68"/>
      <c r="F839" s="68"/>
      <c r="G839" s="68"/>
      <c r="H839" s="68"/>
      <c r="I839" s="68"/>
      <c r="J839" s="68"/>
      <c r="K839" s="68"/>
      <c r="L839" s="68"/>
      <c r="M839" s="68"/>
      <c r="N839" s="68"/>
      <c r="O839" s="68"/>
      <c r="P839" s="68"/>
      <c r="Q839" s="125"/>
      <c r="R839" s="68"/>
    </row>
    <row r="840" spans="1:18" ht="33.75" customHeight="1">
      <c r="A840" s="68"/>
      <c r="B840" s="68"/>
      <c r="C840" s="68"/>
      <c r="D840" s="68"/>
      <c r="E840" s="68"/>
      <c r="F840" s="68"/>
      <c r="G840" s="68"/>
      <c r="H840" s="68"/>
      <c r="I840" s="68"/>
      <c r="J840" s="68"/>
      <c r="K840" s="68"/>
      <c r="L840" s="68"/>
      <c r="M840" s="68"/>
      <c r="N840" s="68"/>
      <c r="O840" s="68"/>
      <c r="P840" s="68"/>
      <c r="Q840" s="125"/>
      <c r="R840" s="68"/>
    </row>
    <row r="841" spans="1:18" ht="33.75" customHeight="1">
      <c r="A841" s="68"/>
      <c r="B841" s="68"/>
      <c r="C841" s="68"/>
      <c r="D841" s="68"/>
      <c r="E841" s="68"/>
      <c r="F841" s="68"/>
      <c r="G841" s="68"/>
      <c r="H841" s="68"/>
      <c r="I841" s="68"/>
      <c r="J841" s="68"/>
      <c r="K841" s="68"/>
      <c r="L841" s="68"/>
      <c r="M841" s="68"/>
      <c r="N841" s="68"/>
      <c r="O841" s="68"/>
      <c r="P841" s="68"/>
      <c r="Q841" s="125"/>
      <c r="R841" s="68"/>
    </row>
    <row r="842" spans="1:18" ht="33.75" customHeight="1">
      <c r="A842" s="68"/>
      <c r="B842" s="68"/>
      <c r="C842" s="68"/>
      <c r="D842" s="68"/>
      <c r="E842" s="68"/>
      <c r="F842" s="68"/>
      <c r="G842" s="68"/>
      <c r="H842" s="68"/>
      <c r="I842" s="68"/>
      <c r="J842" s="68"/>
      <c r="K842" s="68"/>
      <c r="L842" s="68"/>
      <c r="M842" s="68"/>
      <c r="N842" s="68"/>
      <c r="O842" s="68"/>
      <c r="P842" s="68"/>
      <c r="Q842" s="125"/>
      <c r="R842" s="68"/>
    </row>
    <row r="843" spans="1:18" ht="33.75" customHeight="1">
      <c r="A843" s="68"/>
      <c r="B843" s="68"/>
      <c r="C843" s="68"/>
      <c r="D843" s="68"/>
      <c r="E843" s="68"/>
      <c r="F843" s="68"/>
      <c r="G843" s="68"/>
      <c r="H843" s="68"/>
      <c r="I843" s="68"/>
      <c r="J843" s="68"/>
      <c r="K843" s="68"/>
      <c r="L843" s="68"/>
      <c r="M843" s="68"/>
      <c r="N843" s="68"/>
      <c r="O843" s="68"/>
      <c r="P843" s="68"/>
      <c r="Q843" s="125"/>
      <c r="R843" s="68"/>
    </row>
    <row r="844" spans="1:18" ht="33.75" customHeight="1">
      <c r="A844" s="68"/>
      <c r="B844" s="68"/>
      <c r="C844" s="68"/>
      <c r="D844" s="68"/>
      <c r="E844" s="68"/>
      <c r="F844" s="68"/>
      <c r="G844" s="68"/>
      <c r="H844" s="68"/>
      <c r="I844" s="68"/>
      <c r="J844" s="68"/>
      <c r="K844" s="68"/>
      <c r="L844" s="68"/>
      <c r="M844" s="68"/>
      <c r="N844" s="68"/>
      <c r="O844" s="68"/>
      <c r="P844" s="68"/>
      <c r="Q844" s="125"/>
      <c r="R844" s="68"/>
    </row>
    <row r="845" spans="1:18" ht="33.75" customHeight="1">
      <c r="A845" s="68"/>
      <c r="B845" s="68"/>
      <c r="C845" s="68"/>
      <c r="D845" s="68"/>
      <c r="E845" s="68"/>
      <c r="F845" s="68"/>
      <c r="G845" s="68"/>
      <c r="H845" s="68"/>
      <c r="I845" s="68"/>
      <c r="J845" s="68"/>
      <c r="K845" s="68"/>
      <c r="L845" s="68"/>
      <c r="M845" s="68"/>
      <c r="N845" s="68"/>
      <c r="O845" s="68"/>
      <c r="P845" s="68"/>
      <c r="Q845" s="125"/>
      <c r="R845" s="68"/>
    </row>
    <row r="846" spans="1:18" ht="33.75" customHeight="1">
      <c r="A846" s="68"/>
      <c r="B846" s="68"/>
      <c r="C846" s="68"/>
      <c r="D846" s="68"/>
      <c r="E846" s="68"/>
      <c r="F846" s="68"/>
      <c r="G846" s="68"/>
      <c r="H846" s="68"/>
      <c r="I846" s="68"/>
      <c r="J846" s="68"/>
      <c r="K846" s="68"/>
      <c r="L846" s="68"/>
      <c r="M846" s="68"/>
      <c r="N846" s="68"/>
      <c r="O846" s="68"/>
      <c r="P846" s="68"/>
      <c r="Q846" s="125"/>
      <c r="R846" s="68"/>
    </row>
    <row r="847" spans="1:18" ht="33.75" customHeight="1">
      <c r="A847" s="68"/>
      <c r="B847" s="68"/>
      <c r="C847" s="68"/>
      <c r="D847" s="68"/>
      <c r="E847" s="68"/>
      <c r="F847" s="68"/>
      <c r="G847" s="68"/>
      <c r="H847" s="68"/>
      <c r="I847" s="68"/>
      <c r="J847" s="68"/>
      <c r="K847" s="68"/>
      <c r="L847" s="68"/>
      <c r="M847" s="68"/>
      <c r="N847" s="68"/>
      <c r="O847" s="68"/>
      <c r="P847" s="68"/>
      <c r="Q847" s="125"/>
      <c r="R847" s="68"/>
    </row>
    <row r="848" spans="1:18" ht="33.75" customHeight="1">
      <c r="A848" s="68"/>
      <c r="B848" s="68"/>
      <c r="C848" s="68"/>
      <c r="D848" s="68"/>
      <c r="E848" s="68"/>
      <c r="F848" s="68"/>
      <c r="G848" s="68"/>
      <c r="H848" s="68"/>
      <c r="I848" s="68"/>
      <c r="J848" s="68"/>
      <c r="K848" s="68"/>
      <c r="L848" s="68"/>
      <c r="M848" s="68"/>
      <c r="N848" s="68"/>
      <c r="O848" s="68"/>
      <c r="P848" s="68"/>
      <c r="Q848" s="125"/>
      <c r="R848" s="68"/>
    </row>
    <row r="849" spans="1:18" ht="33.75" customHeight="1">
      <c r="A849" s="68"/>
      <c r="B849" s="68"/>
      <c r="C849" s="68"/>
      <c r="D849" s="68"/>
      <c r="E849" s="68"/>
      <c r="F849" s="68"/>
      <c r="G849" s="68"/>
      <c r="H849" s="68"/>
      <c r="I849" s="68"/>
      <c r="J849" s="68"/>
      <c r="K849" s="68"/>
      <c r="L849" s="68"/>
      <c r="M849" s="68"/>
      <c r="N849" s="68"/>
      <c r="O849" s="68"/>
      <c r="P849" s="68"/>
      <c r="Q849" s="125"/>
      <c r="R849" s="68"/>
    </row>
    <row r="850" spans="1:18" ht="33.75" customHeight="1">
      <c r="A850" s="68"/>
      <c r="B850" s="68"/>
      <c r="C850" s="68"/>
      <c r="D850" s="68"/>
      <c r="E850" s="68"/>
      <c r="F850" s="68"/>
      <c r="G850" s="68"/>
      <c r="H850" s="68"/>
      <c r="I850" s="68"/>
      <c r="J850" s="68"/>
      <c r="K850" s="68"/>
      <c r="L850" s="68"/>
      <c r="M850" s="68"/>
      <c r="N850" s="68"/>
      <c r="O850" s="68"/>
      <c r="P850" s="68"/>
      <c r="Q850" s="125"/>
      <c r="R850" s="68"/>
    </row>
    <row r="851" spans="1:18" ht="33.75" customHeight="1">
      <c r="A851" s="68"/>
      <c r="B851" s="68"/>
      <c r="C851" s="68"/>
      <c r="D851" s="68"/>
      <c r="E851" s="68"/>
      <c r="F851" s="68"/>
      <c r="G851" s="68"/>
      <c r="H851" s="68"/>
      <c r="I851" s="68"/>
      <c r="J851" s="68"/>
      <c r="K851" s="68"/>
      <c r="L851" s="68"/>
      <c r="M851" s="68"/>
      <c r="N851" s="68"/>
      <c r="O851" s="68"/>
      <c r="P851" s="68"/>
      <c r="Q851" s="125"/>
      <c r="R851" s="68"/>
    </row>
    <row r="852" spans="1:18" ht="33.75" customHeight="1">
      <c r="A852" s="68"/>
      <c r="B852" s="68"/>
      <c r="C852" s="68"/>
      <c r="D852" s="68"/>
      <c r="E852" s="68"/>
      <c r="F852" s="68"/>
      <c r="G852" s="68"/>
      <c r="H852" s="68"/>
      <c r="I852" s="68"/>
      <c r="J852" s="68"/>
      <c r="K852" s="68"/>
      <c r="L852" s="68"/>
      <c r="M852" s="68"/>
      <c r="N852" s="68"/>
      <c r="O852" s="68"/>
      <c r="P852" s="68"/>
      <c r="Q852" s="125"/>
      <c r="R852" s="68"/>
    </row>
    <row r="853" spans="1:18" ht="33.75" customHeight="1">
      <c r="A853" s="68"/>
      <c r="B853" s="68"/>
      <c r="C853" s="68"/>
      <c r="D853" s="68"/>
      <c r="E853" s="68"/>
      <c r="F853" s="68"/>
      <c r="G853" s="68"/>
      <c r="H853" s="68"/>
      <c r="I853" s="68"/>
      <c r="J853" s="68"/>
      <c r="K853" s="68"/>
      <c r="L853" s="68"/>
      <c r="M853" s="68"/>
      <c r="N853" s="68"/>
      <c r="O853" s="68"/>
      <c r="P853" s="68"/>
      <c r="Q853" s="125"/>
      <c r="R853" s="68"/>
    </row>
    <row r="854" spans="1:18" ht="33.75" customHeight="1">
      <c r="A854" s="68"/>
      <c r="B854" s="68"/>
      <c r="C854" s="68"/>
      <c r="D854" s="68"/>
      <c r="E854" s="68"/>
      <c r="F854" s="68"/>
      <c r="G854" s="68"/>
      <c r="H854" s="68"/>
      <c r="I854" s="68"/>
      <c r="J854" s="68"/>
      <c r="K854" s="68"/>
      <c r="L854" s="68"/>
      <c r="M854" s="68"/>
      <c r="N854" s="68"/>
      <c r="O854" s="68"/>
      <c r="P854" s="68"/>
      <c r="Q854" s="125"/>
      <c r="R854" s="68"/>
    </row>
    <row r="855" spans="1:18" ht="33.75" customHeight="1">
      <c r="A855" s="68"/>
      <c r="B855" s="68"/>
      <c r="C855" s="68"/>
      <c r="D855" s="68"/>
      <c r="E855" s="68"/>
      <c r="F855" s="68"/>
      <c r="G855" s="68"/>
      <c r="H855" s="68"/>
      <c r="I855" s="68"/>
      <c r="J855" s="68"/>
      <c r="K855" s="68"/>
      <c r="L855" s="68"/>
      <c r="M855" s="68"/>
      <c r="N855" s="68"/>
      <c r="O855" s="68"/>
      <c r="P855" s="68"/>
      <c r="Q855" s="125"/>
      <c r="R855" s="68"/>
    </row>
    <row r="856" spans="1:18" ht="33.75" customHeight="1">
      <c r="A856" s="68"/>
      <c r="B856" s="68"/>
      <c r="C856" s="68"/>
      <c r="D856" s="68"/>
      <c r="E856" s="68"/>
      <c r="F856" s="68"/>
      <c r="G856" s="68"/>
      <c r="H856" s="68"/>
      <c r="I856" s="68"/>
      <c r="J856" s="68"/>
      <c r="K856" s="68"/>
      <c r="L856" s="68"/>
      <c r="M856" s="68"/>
      <c r="N856" s="68"/>
      <c r="O856" s="68"/>
      <c r="P856" s="68"/>
      <c r="Q856" s="125"/>
      <c r="R856" s="68"/>
    </row>
    <row r="857" spans="1:18" ht="33.75" customHeight="1">
      <c r="A857" s="68"/>
      <c r="B857" s="68"/>
      <c r="C857" s="68"/>
      <c r="D857" s="68"/>
      <c r="E857" s="68"/>
      <c r="F857" s="68"/>
      <c r="G857" s="68"/>
      <c r="H857" s="68"/>
      <c r="I857" s="68"/>
      <c r="J857" s="68"/>
      <c r="K857" s="68"/>
      <c r="L857" s="68"/>
      <c r="M857" s="68"/>
      <c r="N857" s="68"/>
      <c r="O857" s="68"/>
      <c r="P857" s="68"/>
      <c r="Q857" s="125"/>
      <c r="R857" s="68"/>
    </row>
    <row r="858" spans="1:18" ht="33.75" customHeight="1">
      <c r="A858" s="68"/>
      <c r="B858" s="68"/>
      <c r="C858" s="68"/>
      <c r="D858" s="68"/>
      <c r="E858" s="68"/>
      <c r="F858" s="68"/>
      <c r="G858" s="68"/>
      <c r="H858" s="68"/>
      <c r="I858" s="68"/>
      <c r="J858" s="68"/>
      <c r="K858" s="68"/>
      <c r="L858" s="68"/>
      <c r="M858" s="68"/>
      <c r="N858" s="68"/>
      <c r="O858" s="68"/>
      <c r="P858" s="68"/>
      <c r="Q858" s="125"/>
      <c r="R858" s="68"/>
    </row>
    <row r="859" spans="1:18" ht="33.75" customHeight="1">
      <c r="A859" s="68"/>
      <c r="B859" s="68"/>
      <c r="C859" s="68"/>
      <c r="D859" s="68"/>
      <c r="E859" s="68"/>
      <c r="F859" s="68"/>
      <c r="G859" s="68"/>
      <c r="H859" s="68"/>
      <c r="I859" s="68"/>
      <c r="J859" s="68"/>
      <c r="K859" s="68"/>
      <c r="L859" s="68"/>
      <c r="M859" s="68"/>
      <c r="N859" s="68"/>
      <c r="O859" s="68"/>
      <c r="P859" s="68"/>
      <c r="Q859" s="125"/>
      <c r="R859" s="68"/>
    </row>
    <row r="860" spans="1:18" ht="33.75" customHeight="1">
      <c r="A860" s="68"/>
      <c r="B860" s="68"/>
      <c r="C860" s="68"/>
      <c r="D860" s="68"/>
      <c r="E860" s="68"/>
      <c r="F860" s="68"/>
      <c r="G860" s="68"/>
      <c r="H860" s="68"/>
      <c r="I860" s="68"/>
      <c r="J860" s="68"/>
      <c r="K860" s="68"/>
      <c r="L860" s="68"/>
      <c r="M860" s="68"/>
      <c r="N860" s="68"/>
      <c r="O860" s="68"/>
      <c r="P860" s="68"/>
      <c r="Q860" s="125"/>
      <c r="R860" s="68"/>
    </row>
    <row r="861" spans="1:18" ht="33.75" customHeight="1">
      <c r="A861" s="68"/>
      <c r="B861" s="68"/>
      <c r="C861" s="68"/>
      <c r="D861" s="68"/>
      <c r="E861" s="68"/>
      <c r="F861" s="68"/>
      <c r="G861" s="68"/>
      <c r="H861" s="68"/>
      <c r="I861" s="68"/>
      <c r="J861" s="68"/>
      <c r="K861" s="68"/>
      <c r="L861" s="68"/>
      <c r="M861" s="68"/>
      <c r="N861" s="68"/>
      <c r="O861" s="68"/>
      <c r="P861" s="68"/>
      <c r="Q861" s="125"/>
      <c r="R861" s="68"/>
    </row>
    <row r="862" spans="1:18" ht="33.75" customHeight="1">
      <c r="A862" s="68"/>
      <c r="B862" s="68"/>
      <c r="C862" s="68"/>
      <c r="D862" s="68"/>
      <c r="E862" s="68"/>
      <c r="F862" s="68"/>
      <c r="G862" s="68"/>
      <c r="H862" s="68"/>
      <c r="I862" s="68"/>
      <c r="J862" s="68"/>
      <c r="K862" s="68"/>
      <c r="L862" s="68"/>
      <c r="M862" s="68"/>
      <c r="N862" s="68"/>
      <c r="O862" s="68"/>
      <c r="P862" s="68"/>
      <c r="Q862" s="125"/>
      <c r="R862" s="68"/>
    </row>
    <row r="863" spans="1:18" ht="33.75" customHeight="1">
      <c r="A863" s="68"/>
      <c r="B863" s="68"/>
      <c r="C863" s="68"/>
      <c r="D863" s="68"/>
      <c r="E863" s="68"/>
      <c r="F863" s="68"/>
      <c r="G863" s="68"/>
      <c r="H863" s="68"/>
      <c r="I863" s="68"/>
      <c r="J863" s="68"/>
      <c r="K863" s="68"/>
      <c r="L863" s="68"/>
      <c r="M863" s="68"/>
      <c r="N863" s="68"/>
      <c r="O863" s="68"/>
      <c r="P863" s="68"/>
      <c r="Q863" s="125"/>
      <c r="R863" s="68"/>
    </row>
    <row r="864" spans="1:18" ht="33.75" customHeight="1">
      <c r="A864" s="68"/>
      <c r="B864" s="68"/>
      <c r="C864" s="68"/>
      <c r="D864" s="68"/>
      <c r="E864" s="68"/>
      <c r="F864" s="68"/>
      <c r="G864" s="68"/>
      <c r="H864" s="68"/>
      <c r="I864" s="68"/>
      <c r="J864" s="68"/>
      <c r="K864" s="68"/>
      <c r="L864" s="68"/>
      <c r="M864" s="68"/>
      <c r="N864" s="68"/>
      <c r="O864" s="68"/>
      <c r="P864" s="68"/>
      <c r="Q864" s="125"/>
      <c r="R864" s="68"/>
    </row>
    <row r="865" spans="1:18" ht="33.75" customHeight="1">
      <c r="A865" s="68"/>
      <c r="B865" s="68"/>
      <c r="C865" s="68"/>
      <c r="D865" s="68"/>
      <c r="E865" s="68"/>
      <c r="F865" s="68"/>
      <c r="G865" s="68"/>
      <c r="H865" s="68"/>
      <c r="I865" s="68"/>
      <c r="J865" s="68"/>
      <c r="K865" s="68"/>
      <c r="L865" s="68"/>
      <c r="M865" s="68"/>
      <c r="N865" s="68"/>
      <c r="O865" s="68"/>
      <c r="P865" s="68"/>
      <c r="Q865" s="125"/>
      <c r="R865" s="68"/>
    </row>
    <row r="866" spans="1:18" ht="33.75" customHeight="1">
      <c r="A866" s="68"/>
      <c r="B866" s="68"/>
      <c r="C866" s="68"/>
      <c r="D866" s="68"/>
      <c r="E866" s="68"/>
      <c r="F866" s="68"/>
      <c r="G866" s="68"/>
      <c r="H866" s="68"/>
      <c r="I866" s="68"/>
      <c r="J866" s="68"/>
      <c r="K866" s="68"/>
      <c r="L866" s="68"/>
      <c r="M866" s="68"/>
      <c r="N866" s="68"/>
      <c r="O866" s="68"/>
      <c r="P866" s="68"/>
      <c r="Q866" s="125"/>
      <c r="R866" s="68"/>
    </row>
    <row r="867" spans="1:18" ht="33.75" customHeight="1">
      <c r="A867" s="68"/>
      <c r="B867" s="68"/>
      <c r="C867" s="68"/>
      <c r="D867" s="68"/>
      <c r="E867" s="68"/>
      <c r="F867" s="68"/>
      <c r="G867" s="68"/>
      <c r="H867" s="68"/>
      <c r="I867" s="68"/>
      <c r="J867" s="68"/>
      <c r="K867" s="68"/>
      <c r="L867" s="68"/>
      <c r="M867" s="68"/>
      <c r="N867" s="68"/>
      <c r="O867" s="68"/>
      <c r="P867" s="68"/>
      <c r="Q867" s="125"/>
      <c r="R867" s="68"/>
    </row>
    <row r="868" spans="1:18" ht="33.75" customHeight="1">
      <c r="A868" s="68"/>
      <c r="B868" s="68"/>
      <c r="C868" s="68"/>
      <c r="D868" s="68"/>
      <c r="E868" s="68"/>
      <c r="F868" s="68"/>
      <c r="G868" s="68"/>
      <c r="H868" s="68"/>
      <c r="I868" s="68"/>
      <c r="J868" s="68"/>
      <c r="K868" s="68"/>
      <c r="L868" s="68"/>
      <c r="M868" s="68"/>
      <c r="N868" s="68"/>
      <c r="O868" s="68"/>
      <c r="P868" s="68"/>
      <c r="Q868" s="125"/>
      <c r="R868" s="68"/>
    </row>
    <row r="869" spans="1:18" ht="33.75" customHeight="1">
      <c r="A869" s="68"/>
      <c r="B869" s="68"/>
      <c r="C869" s="68"/>
      <c r="D869" s="68"/>
      <c r="E869" s="68"/>
      <c r="F869" s="68"/>
      <c r="G869" s="68"/>
      <c r="H869" s="68"/>
      <c r="I869" s="68"/>
      <c r="J869" s="68"/>
      <c r="K869" s="68"/>
      <c r="L869" s="68"/>
      <c r="M869" s="68"/>
      <c r="N869" s="68"/>
      <c r="O869" s="68"/>
      <c r="P869" s="68"/>
      <c r="Q869" s="125"/>
      <c r="R869" s="68"/>
    </row>
    <row r="870" spans="1:18" ht="33.75" customHeight="1">
      <c r="A870" s="68"/>
      <c r="B870" s="68"/>
      <c r="C870" s="68"/>
      <c r="D870" s="68"/>
      <c r="E870" s="68"/>
      <c r="F870" s="68"/>
      <c r="G870" s="68"/>
      <c r="H870" s="68"/>
      <c r="I870" s="68"/>
      <c r="J870" s="68"/>
      <c r="K870" s="68"/>
      <c r="L870" s="68"/>
      <c r="M870" s="68"/>
      <c r="N870" s="68"/>
      <c r="O870" s="68"/>
      <c r="P870" s="68"/>
      <c r="Q870" s="125"/>
      <c r="R870" s="68"/>
    </row>
    <row r="871" spans="1:18" ht="33.75" customHeight="1">
      <c r="A871" s="68"/>
      <c r="B871" s="68"/>
      <c r="C871" s="68"/>
      <c r="D871" s="68"/>
      <c r="E871" s="68"/>
      <c r="F871" s="68"/>
      <c r="G871" s="68"/>
      <c r="H871" s="68"/>
      <c r="I871" s="68"/>
      <c r="J871" s="68"/>
      <c r="K871" s="68"/>
      <c r="L871" s="68"/>
      <c r="M871" s="68"/>
      <c r="N871" s="68"/>
      <c r="O871" s="68"/>
      <c r="P871" s="68"/>
      <c r="Q871" s="125"/>
      <c r="R871" s="68"/>
    </row>
    <row r="872" spans="1:18" ht="33.75" customHeight="1">
      <c r="A872" s="68"/>
      <c r="B872" s="68"/>
      <c r="C872" s="68"/>
      <c r="D872" s="68"/>
      <c r="E872" s="68"/>
      <c r="F872" s="68"/>
      <c r="G872" s="68"/>
      <c r="H872" s="68"/>
      <c r="I872" s="68"/>
      <c r="J872" s="68"/>
      <c r="K872" s="68"/>
      <c r="L872" s="68"/>
      <c r="M872" s="68"/>
      <c r="N872" s="68"/>
      <c r="O872" s="68"/>
      <c r="P872" s="68"/>
      <c r="Q872" s="125"/>
      <c r="R872" s="68"/>
    </row>
    <row r="873" spans="1:18" ht="33.75" customHeight="1">
      <c r="A873" s="68"/>
      <c r="B873" s="68"/>
      <c r="C873" s="68"/>
      <c r="D873" s="68"/>
      <c r="E873" s="68"/>
      <c r="F873" s="68"/>
      <c r="G873" s="68"/>
      <c r="H873" s="68"/>
      <c r="I873" s="68"/>
      <c r="J873" s="68"/>
      <c r="K873" s="68"/>
      <c r="L873" s="68"/>
      <c r="M873" s="68"/>
      <c r="N873" s="68"/>
      <c r="O873" s="68"/>
      <c r="P873" s="68"/>
      <c r="Q873" s="125"/>
      <c r="R873" s="68"/>
    </row>
    <row r="874" spans="1:18" ht="33.75" customHeight="1">
      <c r="A874" s="68"/>
      <c r="B874" s="68"/>
      <c r="C874" s="68"/>
      <c r="D874" s="68"/>
      <c r="E874" s="68"/>
      <c r="F874" s="68"/>
      <c r="G874" s="68"/>
      <c r="H874" s="68"/>
      <c r="I874" s="68"/>
      <c r="J874" s="68"/>
      <c r="K874" s="68"/>
      <c r="L874" s="68"/>
      <c r="M874" s="68"/>
      <c r="N874" s="68"/>
      <c r="O874" s="68"/>
      <c r="P874" s="68"/>
      <c r="Q874" s="125"/>
      <c r="R874" s="68"/>
    </row>
    <row r="875" spans="1:18" ht="33.75" customHeight="1">
      <c r="A875" s="68"/>
      <c r="B875" s="68"/>
      <c r="C875" s="68"/>
      <c r="D875" s="68"/>
      <c r="E875" s="68"/>
      <c r="F875" s="68"/>
      <c r="G875" s="68"/>
      <c r="H875" s="68"/>
      <c r="I875" s="68"/>
      <c r="J875" s="68"/>
      <c r="K875" s="68"/>
      <c r="L875" s="68"/>
      <c r="M875" s="68"/>
      <c r="N875" s="68"/>
      <c r="O875" s="68"/>
      <c r="P875" s="68"/>
      <c r="Q875" s="125"/>
      <c r="R875" s="68"/>
    </row>
    <row r="876" spans="1:18" ht="33.75" customHeight="1">
      <c r="A876" s="68"/>
      <c r="B876" s="68"/>
      <c r="C876" s="68"/>
      <c r="D876" s="68"/>
      <c r="E876" s="68"/>
      <c r="F876" s="68"/>
      <c r="G876" s="68"/>
      <c r="H876" s="68"/>
      <c r="I876" s="68"/>
      <c r="J876" s="68"/>
      <c r="K876" s="68"/>
      <c r="L876" s="68"/>
      <c r="M876" s="68"/>
      <c r="N876" s="68"/>
      <c r="O876" s="68"/>
      <c r="P876" s="68"/>
      <c r="Q876" s="125"/>
      <c r="R876" s="68"/>
    </row>
    <row r="877" spans="1:18" ht="33.75" customHeight="1">
      <c r="A877" s="68"/>
      <c r="B877" s="68"/>
      <c r="C877" s="68"/>
      <c r="D877" s="68"/>
      <c r="E877" s="68"/>
      <c r="F877" s="68"/>
      <c r="G877" s="68"/>
      <c r="H877" s="68"/>
      <c r="I877" s="68"/>
      <c r="J877" s="68"/>
      <c r="K877" s="68"/>
      <c r="L877" s="68"/>
      <c r="M877" s="68"/>
      <c r="N877" s="68"/>
      <c r="O877" s="68"/>
      <c r="P877" s="68"/>
      <c r="Q877" s="125"/>
      <c r="R877" s="68"/>
    </row>
    <row r="878" spans="1:18" ht="33.75" customHeight="1">
      <c r="A878" s="68"/>
      <c r="B878" s="68"/>
      <c r="C878" s="68"/>
      <c r="D878" s="68"/>
      <c r="E878" s="68"/>
      <c r="F878" s="68"/>
      <c r="G878" s="68"/>
      <c r="H878" s="68"/>
      <c r="I878" s="68"/>
      <c r="J878" s="68"/>
      <c r="K878" s="68"/>
      <c r="L878" s="68"/>
      <c r="M878" s="68"/>
      <c r="N878" s="68"/>
      <c r="O878" s="68"/>
      <c r="P878" s="68"/>
      <c r="Q878" s="125"/>
      <c r="R878" s="68"/>
    </row>
    <row r="879" spans="1:18" ht="33.75" customHeight="1">
      <c r="A879" s="68"/>
      <c r="B879" s="68"/>
      <c r="C879" s="68"/>
      <c r="D879" s="68"/>
      <c r="E879" s="68"/>
      <c r="F879" s="68"/>
      <c r="G879" s="68"/>
      <c r="H879" s="68"/>
      <c r="I879" s="68"/>
      <c r="J879" s="68"/>
      <c r="K879" s="68"/>
      <c r="L879" s="68"/>
      <c r="M879" s="68"/>
      <c r="N879" s="68"/>
      <c r="O879" s="68"/>
      <c r="P879" s="68"/>
      <c r="Q879" s="125"/>
      <c r="R879" s="68"/>
    </row>
    <row r="880" spans="1:18" ht="33.75" customHeight="1">
      <c r="A880" s="68"/>
      <c r="B880" s="68"/>
      <c r="C880" s="68"/>
      <c r="D880" s="68"/>
      <c r="E880" s="68"/>
      <c r="F880" s="68"/>
      <c r="G880" s="68"/>
      <c r="H880" s="68"/>
      <c r="I880" s="68"/>
      <c r="J880" s="68"/>
      <c r="K880" s="68"/>
      <c r="L880" s="68"/>
      <c r="M880" s="68"/>
      <c r="N880" s="68"/>
      <c r="O880" s="68"/>
      <c r="P880" s="68"/>
      <c r="Q880" s="125"/>
      <c r="R880" s="68"/>
    </row>
    <row r="881" spans="1:18" ht="33.75" customHeight="1">
      <c r="A881" s="68"/>
      <c r="B881" s="68"/>
      <c r="C881" s="68"/>
      <c r="D881" s="68"/>
      <c r="E881" s="68"/>
      <c r="F881" s="68"/>
      <c r="G881" s="68"/>
      <c r="H881" s="68"/>
      <c r="I881" s="68"/>
      <c r="J881" s="68"/>
      <c r="K881" s="68"/>
      <c r="L881" s="68"/>
      <c r="M881" s="68"/>
      <c r="N881" s="68"/>
      <c r="O881" s="68"/>
      <c r="P881" s="68"/>
      <c r="Q881" s="125"/>
      <c r="R881" s="68"/>
    </row>
    <row r="882" spans="1:18" ht="33.75" customHeight="1">
      <c r="A882" s="68"/>
      <c r="B882" s="68"/>
      <c r="C882" s="68"/>
      <c r="D882" s="68"/>
      <c r="E882" s="68"/>
      <c r="F882" s="68"/>
      <c r="G882" s="68"/>
      <c r="H882" s="68"/>
      <c r="I882" s="68"/>
      <c r="J882" s="68"/>
      <c r="K882" s="68"/>
      <c r="L882" s="68"/>
      <c r="M882" s="68"/>
      <c r="N882" s="68"/>
      <c r="O882" s="68"/>
      <c r="P882" s="68"/>
      <c r="Q882" s="125"/>
      <c r="R882" s="68"/>
    </row>
    <row r="883" spans="1:18" ht="33.75" customHeight="1">
      <c r="A883" s="68"/>
      <c r="B883" s="68"/>
      <c r="C883" s="68"/>
      <c r="D883" s="68"/>
      <c r="E883" s="68"/>
      <c r="F883" s="68"/>
      <c r="G883" s="68"/>
      <c r="H883" s="68"/>
      <c r="I883" s="68"/>
      <c r="J883" s="68"/>
      <c r="K883" s="68"/>
      <c r="L883" s="68"/>
      <c r="M883" s="68"/>
      <c r="N883" s="68"/>
      <c r="O883" s="68"/>
      <c r="P883" s="68"/>
      <c r="Q883" s="125"/>
      <c r="R883" s="68"/>
    </row>
    <row r="884" spans="1:18" ht="33.75" customHeight="1">
      <c r="A884" s="68"/>
      <c r="B884" s="68"/>
      <c r="C884" s="68"/>
      <c r="D884" s="68"/>
      <c r="E884" s="68"/>
      <c r="F884" s="68"/>
      <c r="G884" s="68"/>
      <c r="H884" s="68"/>
      <c r="I884" s="68"/>
      <c r="J884" s="68"/>
      <c r="K884" s="68"/>
      <c r="L884" s="68"/>
      <c r="M884" s="68"/>
      <c r="N884" s="68"/>
      <c r="O884" s="68"/>
      <c r="P884" s="68"/>
      <c r="Q884" s="125"/>
      <c r="R884" s="68"/>
    </row>
    <row r="885" spans="1:18" ht="33.75" customHeight="1">
      <c r="A885" s="68"/>
      <c r="B885" s="68"/>
      <c r="C885" s="68"/>
      <c r="D885" s="68"/>
      <c r="E885" s="68"/>
      <c r="F885" s="68"/>
      <c r="G885" s="68"/>
      <c r="H885" s="68"/>
      <c r="I885" s="68"/>
      <c r="J885" s="68"/>
      <c r="K885" s="68"/>
      <c r="L885" s="68"/>
      <c r="M885" s="68"/>
      <c r="N885" s="68"/>
      <c r="O885" s="68"/>
      <c r="P885" s="68"/>
      <c r="Q885" s="125"/>
      <c r="R885" s="68"/>
    </row>
    <row r="886" spans="1:18" ht="33.75" customHeight="1">
      <c r="A886" s="68"/>
      <c r="B886" s="68"/>
      <c r="C886" s="68"/>
      <c r="D886" s="68"/>
      <c r="E886" s="68"/>
      <c r="F886" s="68"/>
      <c r="G886" s="68"/>
      <c r="H886" s="68"/>
      <c r="I886" s="68"/>
      <c r="J886" s="68"/>
      <c r="K886" s="68"/>
      <c r="L886" s="68"/>
      <c r="M886" s="68"/>
      <c r="N886" s="68"/>
      <c r="O886" s="68"/>
      <c r="P886" s="68"/>
      <c r="Q886" s="125"/>
      <c r="R886" s="68"/>
    </row>
    <row r="887" spans="1:18" ht="33.75" customHeight="1">
      <c r="A887" s="68"/>
      <c r="B887" s="68"/>
      <c r="C887" s="68"/>
      <c r="D887" s="68"/>
      <c r="E887" s="68"/>
      <c r="F887" s="68"/>
      <c r="G887" s="68"/>
      <c r="H887" s="68"/>
      <c r="I887" s="68"/>
      <c r="J887" s="68"/>
      <c r="K887" s="68"/>
      <c r="L887" s="68"/>
      <c r="M887" s="68"/>
      <c r="N887" s="68"/>
      <c r="O887" s="68"/>
      <c r="P887" s="68"/>
      <c r="Q887" s="125"/>
      <c r="R887" s="68"/>
    </row>
    <row r="888" spans="1:18" ht="33.75" customHeight="1">
      <c r="A888" s="68"/>
      <c r="B888" s="68"/>
      <c r="C888" s="68"/>
      <c r="D888" s="68"/>
      <c r="E888" s="68"/>
      <c r="F888" s="68"/>
      <c r="G888" s="68"/>
      <c r="H888" s="68"/>
      <c r="I888" s="68"/>
      <c r="J888" s="68"/>
      <c r="K888" s="68"/>
      <c r="L888" s="68"/>
      <c r="M888" s="68"/>
      <c r="N888" s="68"/>
      <c r="O888" s="68"/>
      <c r="P888" s="68"/>
      <c r="Q888" s="125"/>
      <c r="R888" s="68"/>
    </row>
    <row r="889" spans="1:18" ht="33.75" customHeight="1">
      <c r="A889" s="68"/>
      <c r="B889" s="68"/>
      <c r="C889" s="68"/>
      <c r="D889" s="68"/>
      <c r="E889" s="68"/>
      <c r="F889" s="68"/>
      <c r="G889" s="68"/>
      <c r="H889" s="68"/>
      <c r="I889" s="68"/>
      <c r="J889" s="68"/>
      <c r="K889" s="68"/>
      <c r="L889" s="68"/>
      <c r="M889" s="68"/>
      <c r="N889" s="68"/>
      <c r="O889" s="68"/>
      <c r="P889" s="68"/>
      <c r="Q889" s="125"/>
      <c r="R889" s="68"/>
    </row>
    <row r="890" spans="1:18" ht="33.75" customHeight="1">
      <c r="A890" s="68"/>
      <c r="B890" s="68"/>
      <c r="C890" s="68"/>
      <c r="D890" s="68"/>
      <c r="E890" s="68"/>
      <c r="F890" s="68"/>
      <c r="G890" s="68"/>
      <c r="H890" s="68"/>
      <c r="I890" s="68"/>
      <c r="J890" s="68"/>
      <c r="K890" s="68"/>
      <c r="L890" s="68"/>
      <c r="M890" s="68"/>
      <c r="N890" s="68"/>
      <c r="O890" s="68"/>
      <c r="P890" s="68"/>
      <c r="Q890" s="125"/>
      <c r="R890" s="68"/>
    </row>
    <row r="891" spans="1:18" ht="33.75" customHeight="1">
      <c r="A891" s="68"/>
      <c r="B891" s="68"/>
      <c r="C891" s="68"/>
      <c r="D891" s="68"/>
      <c r="E891" s="68"/>
      <c r="F891" s="68"/>
      <c r="G891" s="68"/>
      <c r="H891" s="68"/>
      <c r="I891" s="68"/>
      <c r="J891" s="68"/>
      <c r="K891" s="68"/>
      <c r="L891" s="68"/>
      <c r="M891" s="68"/>
      <c r="N891" s="68"/>
      <c r="O891" s="68"/>
      <c r="P891" s="68"/>
      <c r="Q891" s="125"/>
      <c r="R891" s="68"/>
    </row>
    <row r="892" spans="1:18" ht="33.75" customHeight="1">
      <c r="A892" s="68"/>
      <c r="B892" s="68"/>
      <c r="C892" s="68"/>
      <c r="D892" s="68"/>
      <c r="E892" s="68"/>
      <c r="F892" s="68"/>
      <c r="G892" s="68"/>
      <c r="H892" s="68"/>
      <c r="I892" s="68"/>
      <c r="J892" s="68"/>
      <c r="K892" s="68"/>
      <c r="L892" s="68"/>
      <c r="M892" s="68"/>
      <c r="N892" s="68"/>
      <c r="O892" s="68"/>
      <c r="P892" s="68"/>
      <c r="Q892" s="125"/>
      <c r="R892" s="68"/>
    </row>
    <row r="893" spans="1:18" ht="33.75" customHeight="1">
      <c r="A893" s="68"/>
      <c r="B893" s="68"/>
      <c r="C893" s="68"/>
      <c r="D893" s="68"/>
      <c r="E893" s="68"/>
      <c r="F893" s="68"/>
      <c r="G893" s="68"/>
      <c r="H893" s="68"/>
      <c r="I893" s="68"/>
      <c r="J893" s="68"/>
      <c r="K893" s="68"/>
      <c r="L893" s="68"/>
      <c r="M893" s="68"/>
      <c r="N893" s="68"/>
      <c r="O893" s="68"/>
      <c r="P893" s="68"/>
      <c r="Q893" s="125"/>
      <c r="R893" s="68"/>
    </row>
    <row r="894" spans="1:18" ht="33.75" customHeight="1">
      <c r="A894" s="68"/>
      <c r="B894" s="68"/>
      <c r="C894" s="68"/>
      <c r="D894" s="68"/>
      <c r="E894" s="68"/>
      <c r="F894" s="68"/>
      <c r="G894" s="68"/>
      <c r="H894" s="68"/>
      <c r="I894" s="68"/>
      <c r="J894" s="68"/>
      <c r="K894" s="68"/>
      <c r="L894" s="68"/>
      <c r="M894" s="68"/>
      <c r="N894" s="68"/>
      <c r="O894" s="68"/>
      <c r="P894" s="68"/>
      <c r="Q894" s="125"/>
      <c r="R894" s="68"/>
    </row>
    <row r="895" spans="1:18" ht="33.75" customHeight="1">
      <c r="A895" s="68"/>
      <c r="B895" s="68"/>
      <c r="C895" s="68"/>
      <c r="D895" s="68"/>
      <c r="E895" s="68"/>
      <c r="F895" s="68"/>
      <c r="G895" s="68"/>
      <c r="H895" s="68"/>
      <c r="I895" s="68"/>
      <c r="J895" s="68"/>
      <c r="K895" s="68"/>
      <c r="L895" s="68"/>
      <c r="M895" s="68"/>
      <c r="N895" s="68"/>
      <c r="O895" s="68"/>
      <c r="P895" s="68"/>
      <c r="Q895" s="125"/>
      <c r="R895" s="68"/>
    </row>
    <row r="896" spans="1:18" ht="33.75" customHeight="1">
      <c r="A896" s="68"/>
      <c r="B896" s="68"/>
      <c r="C896" s="68"/>
      <c r="D896" s="68"/>
      <c r="E896" s="68"/>
      <c r="F896" s="68"/>
      <c r="G896" s="68"/>
      <c r="H896" s="68"/>
      <c r="I896" s="68"/>
      <c r="J896" s="68"/>
      <c r="K896" s="68"/>
      <c r="L896" s="68"/>
      <c r="M896" s="68"/>
      <c r="N896" s="68"/>
      <c r="O896" s="68"/>
      <c r="P896" s="68"/>
      <c r="Q896" s="125"/>
      <c r="R896" s="68"/>
    </row>
    <row r="897" spans="1:18" ht="33.75" customHeight="1">
      <c r="A897" s="68"/>
      <c r="B897" s="68"/>
      <c r="C897" s="68"/>
      <c r="D897" s="68"/>
      <c r="E897" s="68"/>
      <c r="F897" s="68"/>
      <c r="G897" s="68"/>
      <c r="H897" s="68"/>
      <c r="I897" s="68"/>
      <c r="J897" s="68"/>
      <c r="K897" s="68"/>
      <c r="L897" s="68"/>
      <c r="M897" s="68"/>
      <c r="N897" s="68"/>
      <c r="O897" s="68"/>
      <c r="P897" s="68"/>
      <c r="Q897" s="125"/>
      <c r="R897" s="68"/>
    </row>
    <row r="898" spans="1:18" ht="33.75" customHeight="1">
      <c r="A898" s="68"/>
      <c r="B898" s="68"/>
      <c r="C898" s="68"/>
      <c r="D898" s="68"/>
      <c r="E898" s="68"/>
      <c r="F898" s="68"/>
      <c r="G898" s="68"/>
      <c r="H898" s="68"/>
      <c r="I898" s="68"/>
      <c r="J898" s="68"/>
      <c r="K898" s="68"/>
      <c r="L898" s="68"/>
      <c r="M898" s="68"/>
      <c r="N898" s="68"/>
      <c r="O898" s="68"/>
      <c r="P898" s="68"/>
      <c r="Q898" s="125"/>
      <c r="R898" s="68"/>
    </row>
    <row r="899" spans="1:18" ht="33.75" customHeight="1">
      <c r="A899" s="68"/>
      <c r="B899" s="68"/>
      <c r="C899" s="68"/>
      <c r="D899" s="68"/>
      <c r="E899" s="68"/>
      <c r="F899" s="68"/>
      <c r="G899" s="68"/>
      <c r="H899" s="68"/>
      <c r="I899" s="68"/>
      <c r="J899" s="68"/>
      <c r="K899" s="68"/>
      <c r="L899" s="68"/>
      <c r="M899" s="68"/>
      <c r="N899" s="68"/>
      <c r="O899" s="68"/>
      <c r="P899" s="68"/>
      <c r="Q899" s="125"/>
      <c r="R899" s="68"/>
    </row>
    <row r="900" spans="1:18" ht="33.75" customHeight="1">
      <c r="A900" s="68"/>
      <c r="B900" s="68"/>
      <c r="C900" s="68"/>
      <c r="D900" s="68"/>
      <c r="E900" s="68"/>
      <c r="F900" s="68"/>
      <c r="G900" s="68"/>
      <c r="H900" s="68"/>
      <c r="I900" s="68"/>
      <c r="J900" s="68"/>
      <c r="K900" s="68"/>
      <c r="L900" s="68"/>
      <c r="M900" s="68"/>
      <c r="N900" s="68"/>
      <c r="O900" s="68"/>
      <c r="P900" s="68"/>
      <c r="Q900" s="125"/>
      <c r="R900" s="68"/>
    </row>
    <row r="901" spans="1:18" ht="33.75" customHeight="1">
      <c r="A901" s="68"/>
      <c r="B901" s="68"/>
      <c r="C901" s="68"/>
      <c r="D901" s="68"/>
      <c r="E901" s="68"/>
      <c r="F901" s="68"/>
      <c r="G901" s="68"/>
      <c r="H901" s="68"/>
      <c r="I901" s="68"/>
      <c r="J901" s="68"/>
      <c r="K901" s="68"/>
      <c r="L901" s="68"/>
      <c r="M901" s="68"/>
      <c r="N901" s="68"/>
      <c r="O901" s="68"/>
      <c r="P901" s="68"/>
      <c r="Q901" s="125"/>
      <c r="R901" s="68"/>
    </row>
    <row r="902" spans="1:18" ht="33.75" customHeight="1">
      <c r="A902" s="68"/>
      <c r="B902" s="68"/>
      <c r="C902" s="68"/>
      <c r="D902" s="68"/>
      <c r="E902" s="68"/>
      <c r="F902" s="68"/>
      <c r="G902" s="68"/>
      <c r="H902" s="68"/>
      <c r="I902" s="68"/>
      <c r="J902" s="68"/>
      <c r="K902" s="68"/>
      <c r="L902" s="68"/>
      <c r="M902" s="68"/>
      <c r="N902" s="68"/>
      <c r="O902" s="68"/>
      <c r="P902" s="68"/>
      <c r="Q902" s="125"/>
      <c r="R902" s="68"/>
    </row>
    <row r="903" spans="1:18" ht="33.75" customHeight="1">
      <c r="A903" s="68"/>
      <c r="B903" s="68"/>
      <c r="C903" s="68"/>
      <c r="D903" s="68"/>
      <c r="E903" s="68"/>
      <c r="F903" s="68"/>
      <c r="G903" s="68"/>
      <c r="H903" s="68"/>
      <c r="I903" s="68"/>
      <c r="J903" s="68"/>
      <c r="K903" s="68"/>
      <c r="L903" s="68"/>
      <c r="M903" s="68"/>
      <c r="N903" s="68"/>
      <c r="O903" s="68"/>
      <c r="P903" s="68"/>
      <c r="Q903" s="125"/>
      <c r="R903" s="68"/>
    </row>
    <row r="904" spans="1:18" ht="33.75" customHeight="1">
      <c r="A904" s="68"/>
      <c r="B904" s="68"/>
      <c r="C904" s="68"/>
      <c r="D904" s="68"/>
      <c r="E904" s="68"/>
      <c r="F904" s="68"/>
      <c r="G904" s="68"/>
      <c r="H904" s="68"/>
      <c r="I904" s="68"/>
      <c r="J904" s="68"/>
      <c r="K904" s="68"/>
      <c r="L904" s="68"/>
      <c r="M904" s="68"/>
      <c r="N904" s="68"/>
      <c r="O904" s="68"/>
      <c r="P904" s="68"/>
      <c r="Q904" s="125"/>
      <c r="R904" s="68"/>
    </row>
    <row r="905" spans="1:18" ht="33.75" customHeight="1">
      <c r="A905" s="68"/>
      <c r="B905" s="68"/>
      <c r="C905" s="68"/>
      <c r="D905" s="68"/>
      <c r="E905" s="68"/>
      <c r="F905" s="68"/>
      <c r="G905" s="68"/>
      <c r="H905" s="68"/>
      <c r="I905" s="68"/>
      <c r="J905" s="68"/>
      <c r="K905" s="68"/>
      <c r="L905" s="68"/>
      <c r="M905" s="68"/>
      <c r="N905" s="68"/>
      <c r="O905" s="68"/>
      <c r="P905" s="68"/>
      <c r="Q905" s="125"/>
      <c r="R905" s="68"/>
    </row>
    <row r="906" spans="1:18" ht="33.75" customHeight="1">
      <c r="A906" s="68"/>
      <c r="B906" s="68"/>
      <c r="C906" s="68"/>
      <c r="D906" s="68"/>
      <c r="E906" s="68"/>
      <c r="F906" s="68"/>
      <c r="G906" s="68"/>
      <c r="H906" s="68"/>
      <c r="I906" s="68"/>
      <c r="J906" s="68"/>
      <c r="K906" s="68"/>
      <c r="L906" s="68"/>
      <c r="M906" s="68"/>
      <c r="N906" s="68"/>
      <c r="O906" s="68"/>
      <c r="P906" s="68"/>
      <c r="Q906" s="125"/>
      <c r="R906" s="68"/>
    </row>
    <row r="907" spans="1:18" ht="33.75" customHeight="1">
      <c r="A907" s="68"/>
      <c r="B907" s="68"/>
      <c r="C907" s="68"/>
      <c r="D907" s="68"/>
      <c r="E907" s="68"/>
      <c r="F907" s="68"/>
      <c r="G907" s="68"/>
      <c r="H907" s="68"/>
      <c r="I907" s="68"/>
      <c r="J907" s="68"/>
      <c r="K907" s="68"/>
      <c r="L907" s="68"/>
      <c r="M907" s="68"/>
      <c r="N907" s="68"/>
      <c r="O907" s="68"/>
      <c r="P907" s="68"/>
      <c r="Q907" s="125"/>
      <c r="R907" s="68"/>
    </row>
    <row r="908" spans="1:18" ht="33.75" customHeight="1">
      <c r="A908" s="68"/>
      <c r="B908" s="68"/>
      <c r="C908" s="68"/>
      <c r="D908" s="68"/>
      <c r="E908" s="68"/>
      <c r="F908" s="68"/>
      <c r="G908" s="68"/>
      <c r="H908" s="68"/>
      <c r="I908" s="68"/>
      <c r="J908" s="68"/>
      <c r="K908" s="68"/>
      <c r="L908" s="68"/>
      <c r="M908" s="68"/>
      <c r="N908" s="68"/>
      <c r="O908" s="68"/>
      <c r="P908" s="68"/>
      <c r="Q908" s="125"/>
      <c r="R908" s="68"/>
    </row>
    <row r="909" spans="1:18" ht="33.75" customHeight="1">
      <c r="A909" s="68"/>
      <c r="B909" s="68"/>
      <c r="C909" s="68"/>
      <c r="D909" s="68"/>
      <c r="E909" s="68"/>
      <c r="F909" s="68"/>
      <c r="G909" s="68"/>
      <c r="H909" s="68"/>
      <c r="I909" s="68"/>
      <c r="J909" s="68"/>
      <c r="K909" s="68"/>
      <c r="L909" s="68"/>
      <c r="M909" s="68"/>
      <c r="N909" s="68"/>
      <c r="O909" s="68"/>
      <c r="P909" s="68"/>
      <c r="Q909" s="125"/>
      <c r="R909" s="68"/>
    </row>
    <row r="910" spans="1:18" ht="33.75" customHeight="1">
      <c r="A910" s="68"/>
      <c r="B910" s="68"/>
      <c r="C910" s="68"/>
      <c r="D910" s="68"/>
      <c r="E910" s="68"/>
      <c r="F910" s="68"/>
      <c r="G910" s="68"/>
      <c r="H910" s="68"/>
      <c r="I910" s="68"/>
      <c r="J910" s="68"/>
      <c r="K910" s="68"/>
      <c r="L910" s="68"/>
      <c r="M910" s="68"/>
      <c r="N910" s="68"/>
      <c r="O910" s="68"/>
      <c r="P910" s="68"/>
      <c r="Q910" s="125"/>
      <c r="R910" s="68"/>
    </row>
    <row r="911" spans="1:18" ht="33.75" customHeight="1">
      <c r="A911" s="68"/>
      <c r="B911" s="68"/>
      <c r="C911" s="68"/>
      <c r="D911" s="68"/>
      <c r="E911" s="68"/>
      <c r="F911" s="68"/>
      <c r="G911" s="68"/>
      <c r="H911" s="68"/>
      <c r="I911" s="68"/>
      <c r="J911" s="68"/>
      <c r="K911" s="68"/>
      <c r="L911" s="68"/>
      <c r="M911" s="68"/>
      <c r="N911" s="68"/>
      <c r="O911" s="68"/>
      <c r="P911" s="68"/>
      <c r="Q911" s="125"/>
      <c r="R911" s="68"/>
    </row>
    <row r="912" spans="1:18" ht="33.75" customHeight="1">
      <c r="A912" s="68"/>
      <c r="B912" s="68"/>
      <c r="C912" s="68"/>
      <c r="D912" s="68"/>
      <c r="E912" s="68"/>
      <c r="F912" s="68"/>
      <c r="G912" s="68"/>
      <c r="H912" s="68"/>
      <c r="I912" s="68"/>
      <c r="J912" s="68"/>
      <c r="K912" s="68"/>
      <c r="L912" s="68"/>
      <c r="M912" s="68"/>
      <c r="N912" s="68"/>
      <c r="O912" s="68"/>
      <c r="P912" s="68"/>
      <c r="Q912" s="125"/>
      <c r="R912" s="68"/>
    </row>
    <row r="913" spans="1:18" ht="33.75" customHeight="1">
      <c r="A913" s="68"/>
      <c r="B913" s="68"/>
      <c r="C913" s="68"/>
      <c r="D913" s="68"/>
      <c r="E913" s="68"/>
      <c r="F913" s="68"/>
      <c r="G913" s="68"/>
      <c r="H913" s="68"/>
      <c r="I913" s="68"/>
      <c r="J913" s="68"/>
      <c r="K913" s="68"/>
      <c r="L913" s="68"/>
      <c r="M913" s="68"/>
      <c r="N913" s="68"/>
      <c r="O913" s="68"/>
      <c r="P913" s="68"/>
      <c r="Q913" s="125"/>
      <c r="R913" s="68"/>
    </row>
    <row r="914" spans="1:18" ht="33.75" customHeight="1">
      <c r="A914" s="68"/>
      <c r="B914" s="68"/>
      <c r="C914" s="68"/>
      <c r="D914" s="68"/>
      <c r="E914" s="68"/>
      <c r="F914" s="68"/>
      <c r="G914" s="68"/>
      <c r="H914" s="68"/>
      <c r="I914" s="68"/>
      <c r="J914" s="68"/>
      <c r="K914" s="68"/>
      <c r="L914" s="68"/>
      <c r="M914" s="68"/>
      <c r="N914" s="68"/>
      <c r="O914" s="68"/>
      <c r="P914" s="68"/>
      <c r="Q914" s="125"/>
      <c r="R914" s="68"/>
    </row>
    <row r="915" spans="1:18" ht="33.75" customHeight="1">
      <c r="A915" s="68"/>
      <c r="B915" s="68"/>
      <c r="C915" s="68"/>
      <c r="D915" s="68"/>
      <c r="E915" s="68"/>
      <c r="F915" s="68"/>
      <c r="G915" s="68"/>
      <c r="H915" s="68"/>
      <c r="I915" s="68"/>
      <c r="J915" s="68"/>
      <c r="K915" s="68"/>
      <c r="L915" s="68"/>
      <c r="M915" s="68"/>
      <c r="N915" s="68"/>
      <c r="O915" s="68"/>
      <c r="P915" s="68"/>
      <c r="Q915" s="125"/>
      <c r="R915" s="68"/>
    </row>
    <row r="916" spans="1:18" ht="33.75" customHeight="1">
      <c r="A916" s="68"/>
      <c r="B916" s="68"/>
      <c r="C916" s="68"/>
      <c r="D916" s="68"/>
      <c r="E916" s="68"/>
      <c r="F916" s="68"/>
      <c r="G916" s="68"/>
      <c r="H916" s="68"/>
      <c r="I916" s="68"/>
      <c r="J916" s="68"/>
      <c r="K916" s="68"/>
      <c r="L916" s="68"/>
      <c r="M916" s="68"/>
      <c r="N916" s="68"/>
      <c r="O916" s="68"/>
      <c r="P916" s="68"/>
      <c r="Q916" s="125"/>
      <c r="R916" s="68"/>
    </row>
    <row r="917" spans="1:18" ht="33.75" customHeight="1">
      <c r="A917" s="68"/>
      <c r="B917" s="68"/>
      <c r="C917" s="68"/>
      <c r="D917" s="68"/>
      <c r="E917" s="68"/>
      <c r="F917" s="68"/>
      <c r="G917" s="68"/>
      <c r="H917" s="68"/>
      <c r="I917" s="68"/>
      <c r="J917" s="68"/>
      <c r="K917" s="68"/>
      <c r="L917" s="68"/>
      <c r="M917" s="68"/>
      <c r="N917" s="68"/>
      <c r="O917" s="68"/>
      <c r="P917" s="68"/>
      <c r="Q917" s="125"/>
      <c r="R917" s="68"/>
    </row>
    <row r="918" spans="1:18" ht="33.75" customHeight="1">
      <c r="A918" s="68"/>
      <c r="B918" s="68"/>
      <c r="C918" s="68"/>
      <c r="D918" s="68"/>
      <c r="E918" s="68"/>
      <c r="F918" s="68"/>
      <c r="G918" s="68"/>
      <c r="H918" s="68"/>
      <c r="I918" s="68"/>
      <c r="J918" s="68"/>
      <c r="K918" s="68"/>
      <c r="L918" s="68"/>
      <c r="M918" s="68"/>
      <c r="N918" s="68"/>
      <c r="O918" s="68"/>
      <c r="P918" s="68"/>
      <c r="Q918" s="125"/>
      <c r="R918" s="68"/>
    </row>
    <row r="919" spans="1:18" ht="33.75" customHeight="1">
      <c r="A919" s="68"/>
      <c r="B919" s="68"/>
      <c r="C919" s="68"/>
      <c r="D919" s="68"/>
      <c r="E919" s="68"/>
      <c r="F919" s="68"/>
      <c r="G919" s="68"/>
      <c r="H919" s="68"/>
      <c r="I919" s="68"/>
      <c r="J919" s="68"/>
      <c r="K919" s="68"/>
      <c r="L919" s="68"/>
      <c r="M919" s="68"/>
      <c r="N919" s="68"/>
      <c r="O919" s="68"/>
      <c r="P919" s="68"/>
      <c r="Q919" s="125"/>
      <c r="R919" s="68"/>
    </row>
    <row r="920" spans="1:18" ht="33.75" customHeight="1">
      <c r="A920" s="68"/>
      <c r="B920" s="68"/>
      <c r="C920" s="68"/>
      <c r="D920" s="68"/>
      <c r="E920" s="68"/>
      <c r="F920" s="68"/>
      <c r="G920" s="68"/>
      <c r="H920" s="68"/>
      <c r="I920" s="68"/>
      <c r="J920" s="68"/>
      <c r="K920" s="68"/>
      <c r="L920" s="68"/>
      <c r="M920" s="68"/>
      <c r="N920" s="68"/>
      <c r="O920" s="68"/>
      <c r="P920" s="68"/>
      <c r="Q920" s="125"/>
      <c r="R920" s="68"/>
    </row>
    <row r="921" spans="1:18" ht="33.75" customHeight="1">
      <c r="A921" s="68"/>
      <c r="B921" s="68"/>
      <c r="C921" s="68"/>
      <c r="D921" s="68"/>
      <c r="E921" s="68"/>
      <c r="F921" s="68"/>
      <c r="G921" s="68"/>
      <c r="H921" s="68"/>
      <c r="I921" s="68"/>
      <c r="J921" s="68"/>
      <c r="K921" s="68"/>
      <c r="L921" s="68"/>
      <c r="M921" s="68"/>
      <c r="N921" s="68"/>
      <c r="O921" s="68"/>
      <c r="P921" s="68"/>
      <c r="Q921" s="125"/>
      <c r="R921" s="68"/>
    </row>
    <row r="922" spans="1:18" ht="33.75" customHeight="1">
      <c r="A922" s="68"/>
      <c r="B922" s="68"/>
      <c r="C922" s="68"/>
      <c r="D922" s="68"/>
      <c r="E922" s="68"/>
      <c r="F922" s="68"/>
      <c r="G922" s="68"/>
      <c r="H922" s="68"/>
      <c r="I922" s="68"/>
      <c r="J922" s="68"/>
      <c r="K922" s="68"/>
      <c r="L922" s="68"/>
      <c r="M922" s="68"/>
      <c r="N922" s="68"/>
      <c r="O922" s="68"/>
      <c r="P922" s="68"/>
      <c r="Q922" s="125"/>
      <c r="R922" s="68"/>
    </row>
    <row r="923" spans="1:18" ht="33.75" customHeight="1">
      <c r="A923" s="68"/>
      <c r="B923" s="68"/>
      <c r="C923" s="68"/>
      <c r="D923" s="68"/>
      <c r="E923" s="68"/>
      <c r="F923" s="68"/>
      <c r="G923" s="68"/>
      <c r="H923" s="68"/>
      <c r="I923" s="68"/>
      <c r="J923" s="68"/>
      <c r="K923" s="68"/>
      <c r="L923" s="68"/>
      <c r="M923" s="68"/>
      <c r="N923" s="68"/>
      <c r="O923" s="68"/>
      <c r="P923" s="68"/>
      <c r="Q923" s="125"/>
      <c r="R923" s="68"/>
    </row>
    <row r="924" spans="1:18" ht="33.75" customHeight="1">
      <c r="A924" s="68"/>
      <c r="B924" s="68"/>
      <c r="C924" s="68"/>
      <c r="D924" s="68"/>
      <c r="E924" s="68"/>
      <c r="F924" s="68"/>
      <c r="G924" s="68"/>
      <c r="H924" s="68"/>
      <c r="I924" s="68"/>
      <c r="J924" s="68"/>
      <c r="K924" s="68"/>
      <c r="L924" s="68"/>
      <c r="M924" s="68"/>
      <c r="N924" s="68"/>
      <c r="O924" s="68"/>
      <c r="P924" s="68"/>
      <c r="Q924" s="125"/>
      <c r="R924" s="68"/>
    </row>
    <row r="925" spans="1:18" ht="33.75" customHeight="1">
      <c r="A925" s="68"/>
      <c r="B925" s="68"/>
      <c r="C925" s="68"/>
      <c r="D925" s="68"/>
      <c r="E925" s="68"/>
      <c r="F925" s="68"/>
      <c r="G925" s="68"/>
      <c r="H925" s="68"/>
      <c r="I925" s="68"/>
      <c r="J925" s="68"/>
      <c r="K925" s="68"/>
      <c r="L925" s="68"/>
      <c r="M925" s="68"/>
      <c r="N925" s="68"/>
      <c r="O925" s="68"/>
      <c r="P925" s="68"/>
      <c r="Q925" s="125"/>
      <c r="R925" s="68"/>
    </row>
    <row r="926" spans="1:18" ht="33.75" customHeight="1">
      <c r="A926" s="68"/>
      <c r="B926" s="68"/>
      <c r="C926" s="68"/>
      <c r="D926" s="68"/>
      <c r="E926" s="68"/>
      <c r="F926" s="68"/>
      <c r="G926" s="68"/>
      <c r="H926" s="68"/>
      <c r="I926" s="68"/>
      <c r="J926" s="68"/>
      <c r="K926" s="68"/>
      <c r="L926" s="68"/>
      <c r="M926" s="68"/>
      <c r="N926" s="68"/>
      <c r="O926" s="68"/>
      <c r="P926" s="68"/>
      <c r="Q926" s="125"/>
      <c r="R926" s="68"/>
    </row>
    <row r="927" spans="1:18" ht="33.75" customHeight="1">
      <c r="A927" s="68"/>
      <c r="B927" s="68"/>
      <c r="C927" s="68"/>
      <c r="D927" s="68"/>
      <c r="E927" s="68"/>
      <c r="F927" s="68"/>
      <c r="G927" s="68"/>
      <c r="H927" s="68"/>
      <c r="I927" s="68"/>
      <c r="J927" s="68"/>
      <c r="K927" s="68"/>
      <c r="L927" s="68"/>
      <c r="M927" s="68"/>
      <c r="N927" s="68"/>
      <c r="O927" s="68"/>
      <c r="P927" s="68"/>
      <c r="Q927" s="125"/>
      <c r="R927" s="68"/>
    </row>
    <row r="928" spans="1:18" ht="33.75" customHeight="1">
      <c r="A928" s="68"/>
      <c r="B928" s="68"/>
      <c r="C928" s="68"/>
      <c r="D928" s="68"/>
      <c r="E928" s="68"/>
      <c r="F928" s="68"/>
      <c r="G928" s="68"/>
      <c r="H928" s="68"/>
      <c r="I928" s="68"/>
      <c r="J928" s="68"/>
      <c r="K928" s="68"/>
      <c r="L928" s="68"/>
      <c r="M928" s="68"/>
      <c r="N928" s="68"/>
      <c r="O928" s="68"/>
      <c r="P928" s="68"/>
      <c r="Q928" s="125"/>
      <c r="R928" s="68"/>
    </row>
    <row r="929" spans="1:18" ht="33.75" customHeight="1">
      <c r="A929" s="68"/>
      <c r="B929" s="68"/>
      <c r="C929" s="68"/>
      <c r="D929" s="68"/>
      <c r="E929" s="68"/>
      <c r="F929" s="68"/>
      <c r="G929" s="68"/>
      <c r="H929" s="68"/>
      <c r="I929" s="68"/>
      <c r="J929" s="68"/>
      <c r="K929" s="68"/>
      <c r="L929" s="68"/>
      <c r="M929" s="68"/>
      <c r="N929" s="68"/>
      <c r="O929" s="68"/>
      <c r="P929" s="68"/>
      <c r="Q929" s="125"/>
      <c r="R929" s="68"/>
    </row>
    <row r="930" spans="1:18" ht="33.75" customHeight="1">
      <c r="A930" s="68"/>
      <c r="B930" s="68"/>
      <c r="C930" s="68"/>
      <c r="D930" s="68"/>
      <c r="E930" s="68"/>
      <c r="F930" s="68"/>
      <c r="G930" s="68"/>
      <c r="H930" s="68"/>
      <c r="I930" s="68"/>
      <c r="J930" s="68"/>
      <c r="K930" s="68"/>
      <c r="L930" s="68"/>
      <c r="M930" s="68"/>
      <c r="N930" s="68"/>
      <c r="O930" s="68"/>
      <c r="P930" s="68"/>
      <c r="Q930" s="125"/>
      <c r="R930" s="68"/>
    </row>
    <row r="931" spans="1:18" ht="33.75" customHeight="1">
      <c r="A931" s="68"/>
      <c r="B931" s="68"/>
      <c r="C931" s="68"/>
      <c r="D931" s="68"/>
      <c r="E931" s="68"/>
      <c r="F931" s="68"/>
      <c r="G931" s="68"/>
      <c r="H931" s="68"/>
      <c r="I931" s="68"/>
      <c r="J931" s="68"/>
      <c r="K931" s="68"/>
      <c r="L931" s="68"/>
      <c r="M931" s="68"/>
      <c r="N931" s="68"/>
      <c r="O931" s="68"/>
      <c r="P931" s="68"/>
      <c r="Q931" s="125"/>
      <c r="R931" s="68"/>
    </row>
    <row r="932" spans="1:18" ht="33.75" customHeight="1">
      <c r="A932" s="68"/>
      <c r="B932" s="68"/>
      <c r="C932" s="68"/>
      <c r="D932" s="68"/>
      <c r="E932" s="68"/>
      <c r="F932" s="68"/>
      <c r="G932" s="68"/>
      <c r="H932" s="68"/>
      <c r="I932" s="68"/>
      <c r="J932" s="68"/>
      <c r="K932" s="68"/>
      <c r="L932" s="68"/>
      <c r="M932" s="68"/>
      <c r="N932" s="68"/>
      <c r="O932" s="68"/>
      <c r="P932" s="68"/>
      <c r="Q932" s="125"/>
      <c r="R932" s="68"/>
    </row>
    <row r="933" spans="1:18" ht="33.75" customHeight="1">
      <c r="A933" s="68"/>
      <c r="B933" s="68"/>
      <c r="C933" s="68"/>
      <c r="D933" s="68"/>
      <c r="E933" s="68"/>
      <c r="F933" s="68"/>
      <c r="G933" s="68"/>
      <c r="H933" s="68"/>
      <c r="I933" s="68"/>
      <c r="J933" s="68"/>
      <c r="K933" s="68"/>
      <c r="L933" s="68"/>
      <c r="M933" s="68"/>
      <c r="N933" s="68"/>
      <c r="O933" s="68"/>
      <c r="P933" s="68"/>
      <c r="Q933" s="125"/>
      <c r="R933" s="68"/>
    </row>
    <row r="934" spans="1:18" ht="33.75" customHeight="1">
      <c r="A934" s="68"/>
      <c r="B934" s="68"/>
      <c r="C934" s="68"/>
      <c r="D934" s="68"/>
      <c r="E934" s="68"/>
      <c r="F934" s="68"/>
      <c r="G934" s="68"/>
      <c r="H934" s="68"/>
      <c r="I934" s="68"/>
      <c r="J934" s="68"/>
      <c r="K934" s="68"/>
      <c r="L934" s="68"/>
      <c r="M934" s="68"/>
      <c r="N934" s="68"/>
      <c r="O934" s="68"/>
      <c r="P934" s="68"/>
      <c r="Q934" s="125"/>
      <c r="R934" s="68"/>
    </row>
    <row r="935" spans="1:18" ht="33.75" customHeight="1">
      <c r="A935" s="68"/>
      <c r="B935" s="68"/>
      <c r="C935" s="68"/>
      <c r="D935" s="68"/>
      <c r="E935" s="68"/>
      <c r="F935" s="68"/>
      <c r="G935" s="68"/>
      <c r="H935" s="68"/>
      <c r="I935" s="68"/>
      <c r="J935" s="68"/>
      <c r="K935" s="68"/>
      <c r="L935" s="68"/>
      <c r="M935" s="68"/>
      <c r="N935" s="68"/>
      <c r="O935" s="68"/>
      <c r="P935" s="68"/>
      <c r="Q935" s="125"/>
      <c r="R935" s="68"/>
    </row>
    <row r="936" spans="1:18" ht="33.75" customHeight="1">
      <c r="A936" s="68"/>
      <c r="B936" s="68"/>
      <c r="C936" s="68"/>
      <c r="D936" s="68"/>
      <c r="E936" s="68"/>
      <c r="F936" s="68"/>
      <c r="G936" s="68"/>
      <c r="H936" s="68"/>
      <c r="I936" s="68"/>
      <c r="J936" s="68"/>
      <c r="K936" s="68"/>
      <c r="L936" s="68"/>
      <c r="M936" s="68"/>
      <c r="N936" s="68"/>
      <c r="O936" s="68"/>
      <c r="P936" s="68"/>
      <c r="Q936" s="125"/>
      <c r="R936" s="68"/>
    </row>
    <row r="937" spans="1:18" ht="33.75" customHeight="1">
      <c r="A937" s="68"/>
      <c r="B937" s="68"/>
      <c r="C937" s="68"/>
      <c r="D937" s="68"/>
      <c r="E937" s="68"/>
      <c r="F937" s="68"/>
      <c r="G937" s="68"/>
      <c r="H937" s="68"/>
      <c r="I937" s="68"/>
      <c r="J937" s="68"/>
      <c r="K937" s="68"/>
      <c r="L937" s="68"/>
      <c r="M937" s="68"/>
      <c r="N937" s="68"/>
      <c r="O937" s="68"/>
      <c r="P937" s="68"/>
      <c r="Q937" s="125"/>
      <c r="R937" s="68"/>
    </row>
    <row r="938" spans="1:18" ht="33.75" customHeight="1">
      <c r="A938" s="68"/>
      <c r="B938" s="68"/>
      <c r="C938" s="68"/>
      <c r="D938" s="68"/>
      <c r="E938" s="68"/>
      <c r="F938" s="68"/>
      <c r="G938" s="68"/>
      <c r="H938" s="68"/>
      <c r="I938" s="68"/>
      <c r="J938" s="68"/>
      <c r="K938" s="68"/>
      <c r="L938" s="68"/>
      <c r="M938" s="68"/>
      <c r="N938" s="68"/>
      <c r="O938" s="68"/>
      <c r="P938" s="68"/>
      <c r="Q938" s="125"/>
      <c r="R938" s="68"/>
    </row>
    <row r="939" spans="1:18" ht="33.75" customHeight="1">
      <c r="A939" s="68"/>
      <c r="B939" s="68"/>
      <c r="C939" s="68"/>
      <c r="D939" s="68"/>
      <c r="E939" s="68"/>
      <c r="F939" s="68"/>
      <c r="G939" s="68"/>
      <c r="H939" s="68"/>
      <c r="I939" s="68"/>
      <c r="J939" s="68"/>
      <c r="K939" s="68"/>
      <c r="L939" s="68"/>
      <c r="M939" s="68"/>
      <c r="N939" s="68"/>
      <c r="O939" s="68"/>
      <c r="P939" s="68"/>
      <c r="Q939" s="125"/>
      <c r="R939" s="68"/>
    </row>
    <row r="940" spans="1:18" ht="33.75" customHeight="1">
      <c r="A940" s="68"/>
      <c r="B940" s="68"/>
      <c r="C940" s="68"/>
      <c r="D940" s="68"/>
      <c r="E940" s="68"/>
      <c r="F940" s="68"/>
      <c r="G940" s="68"/>
      <c r="H940" s="68"/>
      <c r="I940" s="68"/>
      <c r="J940" s="68"/>
      <c r="K940" s="68"/>
      <c r="L940" s="68"/>
      <c r="M940" s="68"/>
      <c r="N940" s="68"/>
      <c r="O940" s="68"/>
      <c r="P940" s="68"/>
      <c r="Q940" s="125"/>
      <c r="R940" s="68"/>
    </row>
    <row r="941" spans="1:18" ht="33.75" customHeight="1">
      <c r="A941" s="68"/>
      <c r="B941" s="68"/>
      <c r="C941" s="68"/>
      <c r="D941" s="68"/>
      <c r="E941" s="68"/>
      <c r="F941" s="68"/>
      <c r="G941" s="68"/>
      <c r="H941" s="68"/>
      <c r="I941" s="68"/>
      <c r="J941" s="68"/>
      <c r="K941" s="68"/>
      <c r="L941" s="68"/>
      <c r="M941" s="68"/>
      <c r="N941" s="68"/>
      <c r="O941" s="68"/>
      <c r="P941" s="68"/>
      <c r="Q941" s="125"/>
      <c r="R941" s="68"/>
    </row>
    <row r="942" spans="1:18" ht="33.75" customHeight="1">
      <c r="A942" s="68"/>
      <c r="B942" s="68"/>
      <c r="C942" s="68"/>
      <c r="D942" s="68"/>
      <c r="E942" s="68"/>
      <c r="F942" s="68"/>
      <c r="G942" s="68"/>
      <c r="H942" s="68"/>
      <c r="I942" s="68"/>
      <c r="J942" s="68"/>
      <c r="K942" s="68"/>
      <c r="L942" s="68"/>
      <c r="M942" s="68"/>
      <c r="N942" s="68"/>
      <c r="O942" s="68"/>
      <c r="P942" s="68"/>
      <c r="Q942" s="125"/>
      <c r="R942" s="68"/>
    </row>
    <row r="943" spans="1:18" ht="33.75" customHeight="1">
      <c r="A943" s="68"/>
      <c r="B943" s="68"/>
      <c r="C943" s="68"/>
      <c r="D943" s="68"/>
      <c r="E943" s="68"/>
      <c r="F943" s="68"/>
      <c r="G943" s="68"/>
      <c r="H943" s="68"/>
      <c r="I943" s="68"/>
      <c r="J943" s="68"/>
      <c r="K943" s="68"/>
      <c r="L943" s="68"/>
      <c r="M943" s="68"/>
      <c r="N943" s="68"/>
      <c r="O943" s="68"/>
      <c r="P943" s="68"/>
      <c r="Q943" s="125"/>
      <c r="R943" s="68"/>
    </row>
    <row r="944" spans="1:18" ht="33.75" customHeight="1">
      <c r="A944" s="68"/>
      <c r="B944" s="68"/>
      <c r="C944" s="68"/>
      <c r="D944" s="68"/>
      <c r="E944" s="68"/>
      <c r="F944" s="68"/>
      <c r="G944" s="68"/>
      <c r="H944" s="68"/>
      <c r="I944" s="68"/>
      <c r="J944" s="68"/>
      <c r="K944" s="68"/>
      <c r="L944" s="68"/>
      <c r="M944" s="68"/>
      <c r="N944" s="68"/>
      <c r="O944" s="68"/>
      <c r="P944" s="68"/>
      <c r="Q944" s="125"/>
      <c r="R944" s="68"/>
    </row>
    <row r="945" spans="1:18" ht="33.75" customHeight="1">
      <c r="A945" s="68"/>
      <c r="B945" s="68"/>
      <c r="C945" s="68"/>
      <c r="D945" s="68"/>
      <c r="E945" s="68"/>
      <c r="F945" s="68"/>
      <c r="G945" s="68"/>
      <c r="H945" s="68"/>
      <c r="I945" s="68"/>
      <c r="J945" s="68"/>
      <c r="K945" s="68"/>
      <c r="L945" s="68"/>
      <c r="M945" s="68"/>
      <c r="N945" s="68"/>
      <c r="O945" s="68"/>
      <c r="P945" s="68"/>
      <c r="Q945" s="125"/>
      <c r="R945" s="68"/>
    </row>
    <row r="946" spans="1:18" ht="33.75" customHeight="1">
      <c r="A946" s="68"/>
      <c r="B946" s="68"/>
      <c r="C946" s="68"/>
      <c r="D946" s="68"/>
      <c r="E946" s="68"/>
      <c r="F946" s="68"/>
      <c r="G946" s="68"/>
      <c r="H946" s="68"/>
      <c r="I946" s="68"/>
      <c r="J946" s="68"/>
      <c r="K946" s="68"/>
      <c r="L946" s="68"/>
      <c r="M946" s="68"/>
      <c r="N946" s="68"/>
      <c r="O946" s="68"/>
      <c r="P946" s="68"/>
      <c r="Q946" s="125"/>
      <c r="R946" s="68"/>
    </row>
    <row r="947" spans="1:18" ht="33.75" customHeight="1">
      <c r="A947" s="68"/>
      <c r="B947" s="68"/>
      <c r="C947" s="68"/>
      <c r="D947" s="68"/>
      <c r="E947" s="68"/>
      <c r="F947" s="68"/>
      <c r="G947" s="68"/>
      <c r="H947" s="68"/>
      <c r="I947" s="68"/>
      <c r="J947" s="68"/>
      <c r="K947" s="68"/>
      <c r="L947" s="68"/>
      <c r="M947" s="68"/>
      <c r="N947" s="68"/>
      <c r="O947" s="68"/>
      <c r="P947" s="68"/>
      <c r="Q947" s="125"/>
      <c r="R947" s="68"/>
    </row>
    <row r="948" spans="1:18" ht="33.75" customHeight="1">
      <c r="A948" s="68"/>
      <c r="B948" s="68"/>
      <c r="C948" s="68"/>
      <c r="D948" s="68"/>
      <c r="E948" s="68"/>
      <c r="F948" s="68"/>
      <c r="G948" s="68"/>
      <c r="H948" s="68"/>
      <c r="I948" s="68"/>
      <c r="J948" s="68"/>
      <c r="K948" s="68"/>
      <c r="L948" s="68"/>
      <c r="M948" s="68"/>
      <c r="N948" s="68"/>
      <c r="O948" s="68"/>
      <c r="P948" s="68"/>
      <c r="Q948" s="125"/>
      <c r="R948" s="68"/>
    </row>
    <row r="949" spans="1:18" ht="33.75" customHeight="1">
      <c r="A949" s="68"/>
      <c r="B949" s="68"/>
      <c r="C949" s="68"/>
      <c r="D949" s="68"/>
      <c r="E949" s="68"/>
      <c r="F949" s="68"/>
      <c r="G949" s="68"/>
      <c r="H949" s="68"/>
      <c r="I949" s="68"/>
      <c r="J949" s="68"/>
      <c r="K949" s="68"/>
      <c r="L949" s="68"/>
      <c r="M949" s="68"/>
      <c r="N949" s="68"/>
      <c r="O949" s="68"/>
      <c r="P949" s="68"/>
      <c r="Q949" s="125"/>
      <c r="R949" s="68"/>
    </row>
    <row r="950" spans="1:18" ht="33.75" customHeight="1">
      <c r="A950" s="68"/>
      <c r="B950" s="68"/>
      <c r="C950" s="68"/>
      <c r="D950" s="68"/>
      <c r="E950" s="68"/>
      <c r="F950" s="68"/>
      <c r="G950" s="68"/>
      <c r="H950" s="68"/>
      <c r="I950" s="68"/>
      <c r="J950" s="68"/>
      <c r="K950" s="68"/>
      <c r="L950" s="68"/>
      <c r="M950" s="68"/>
      <c r="N950" s="68"/>
      <c r="O950" s="68"/>
      <c r="P950" s="68"/>
      <c r="Q950" s="125"/>
      <c r="R950" s="68"/>
    </row>
    <row r="951" spans="1:18" ht="33.75" customHeight="1">
      <c r="A951" s="68"/>
      <c r="B951" s="68"/>
      <c r="C951" s="68"/>
      <c r="D951" s="68"/>
      <c r="E951" s="68"/>
      <c r="F951" s="68"/>
      <c r="G951" s="68"/>
      <c r="H951" s="68"/>
      <c r="I951" s="68"/>
      <c r="J951" s="68"/>
      <c r="K951" s="68"/>
      <c r="L951" s="68"/>
      <c r="M951" s="68"/>
      <c r="N951" s="68"/>
      <c r="O951" s="68"/>
      <c r="P951" s="68"/>
      <c r="Q951" s="125"/>
      <c r="R951" s="68"/>
    </row>
    <row r="952" spans="1:18" ht="33.75" customHeight="1">
      <c r="A952" s="68"/>
      <c r="B952" s="68"/>
      <c r="C952" s="68"/>
      <c r="D952" s="68"/>
      <c r="E952" s="68"/>
      <c r="F952" s="68"/>
      <c r="G952" s="68"/>
      <c r="H952" s="68"/>
      <c r="I952" s="68"/>
      <c r="J952" s="68"/>
      <c r="K952" s="68"/>
      <c r="L952" s="68"/>
      <c r="M952" s="68"/>
      <c r="N952" s="68"/>
      <c r="O952" s="68"/>
      <c r="P952" s="68"/>
      <c r="Q952" s="125"/>
      <c r="R952" s="68"/>
    </row>
    <row r="953" spans="1:18" ht="33.75" customHeight="1">
      <c r="A953" s="68"/>
      <c r="B953" s="68"/>
      <c r="C953" s="68"/>
      <c r="D953" s="68"/>
      <c r="E953" s="68"/>
      <c r="F953" s="68"/>
      <c r="G953" s="68"/>
      <c r="H953" s="68"/>
      <c r="I953" s="68"/>
      <c r="J953" s="68"/>
      <c r="K953" s="68"/>
      <c r="L953" s="68"/>
      <c r="M953" s="68"/>
      <c r="N953" s="68"/>
      <c r="O953" s="68"/>
      <c r="P953" s="68"/>
      <c r="Q953" s="125"/>
      <c r="R953" s="68"/>
    </row>
    <row r="954" spans="1:18" ht="33.75" customHeight="1">
      <c r="A954" s="68"/>
      <c r="B954" s="68"/>
      <c r="C954" s="68"/>
      <c r="D954" s="68"/>
      <c r="E954" s="68"/>
      <c r="F954" s="68"/>
      <c r="G954" s="68"/>
      <c r="H954" s="68"/>
      <c r="I954" s="68"/>
      <c r="J954" s="68"/>
      <c r="K954" s="68"/>
      <c r="L954" s="68"/>
      <c r="M954" s="68"/>
      <c r="N954" s="68"/>
      <c r="O954" s="68"/>
      <c r="P954" s="68"/>
      <c r="Q954" s="125"/>
      <c r="R954" s="68"/>
    </row>
    <row r="955" spans="1:18" ht="33.75" customHeight="1">
      <c r="A955" s="68"/>
      <c r="B955" s="68"/>
      <c r="C955" s="68"/>
      <c r="D955" s="68"/>
      <c r="E955" s="68"/>
      <c r="F955" s="68"/>
      <c r="G955" s="68"/>
      <c r="H955" s="68"/>
      <c r="I955" s="68"/>
      <c r="J955" s="68"/>
      <c r="K955" s="68"/>
      <c r="L955" s="68"/>
      <c r="M955" s="68"/>
      <c r="N955" s="68"/>
      <c r="O955" s="68"/>
      <c r="P955" s="68"/>
      <c r="Q955" s="125"/>
      <c r="R955" s="68"/>
    </row>
    <row r="956" spans="1:18" ht="33.75" customHeight="1">
      <c r="A956" s="68"/>
      <c r="B956" s="68"/>
      <c r="C956" s="68"/>
      <c r="D956" s="68"/>
      <c r="E956" s="68"/>
      <c r="F956" s="68"/>
      <c r="G956" s="68"/>
      <c r="H956" s="68"/>
      <c r="I956" s="68"/>
      <c r="J956" s="68"/>
      <c r="K956" s="68"/>
      <c r="L956" s="68"/>
      <c r="M956" s="68"/>
      <c r="N956" s="68"/>
      <c r="O956" s="68"/>
      <c r="P956" s="68"/>
      <c r="Q956" s="125"/>
      <c r="R956" s="68"/>
    </row>
    <row r="957" spans="1:18" ht="33.75" customHeight="1">
      <c r="A957" s="68"/>
      <c r="B957" s="68"/>
      <c r="C957" s="68"/>
      <c r="D957" s="68"/>
      <c r="E957" s="68"/>
      <c r="F957" s="68"/>
      <c r="G957" s="68"/>
      <c r="H957" s="68"/>
      <c r="I957" s="68"/>
      <c r="J957" s="68"/>
      <c r="K957" s="68"/>
      <c r="L957" s="68"/>
      <c r="M957" s="68"/>
      <c r="N957" s="68"/>
      <c r="O957" s="68"/>
      <c r="P957" s="68"/>
      <c r="Q957" s="125"/>
      <c r="R957" s="68"/>
    </row>
    <row r="958" spans="1:18" ht="33.75" customHeight="1">
      <c r="A958" s="68"/>
      <c r="B958" s="68"/>
      <c r="C958" s="68"/>
      <c r="D958" s="68"/>
      <c r="E958" s="68"/>
      <c r="F958" s="68"/>
      <c r="G958" s="68"/>
      <c r="H958" s="68"/>
      <c r="I958" s="68"/>
      <c r="J958" s="68"/>
      <c r="K958" s="68"/>
      <c r="L958" s="68"/>
      <c r="M958" s="68"/>
      <c r="N958" s="68"/>
      <c r="O958" s="68"/>
      <c r="P958" s="68"/>
      <c r="Q958" s="125"/>
      <c r="R958" s="68"/>
    </row>
    <row r="959" spans="1:18" ht="33.75" customHeight="1">
      <c r="A959" s="68"/>
      <c r="B959" s="68"/>
      <c r="C959" s="68"/>
      <c r="D959" s="68"/>
      <c r="E959" s="68"/>
      <c r="F959" s="68"/>
      <c r="G959" s="68"/>
      <c r="H959" s="68"/>
      <c r="I959" s="68"/>
      <c r="J959" s="68"/>
      <c r="K959" s="68"/>
      <c r="L959" s="68"/>
      <c r="M959" s="68"/>
      <c r="N959" s="68"/>
      <c r="O959" s="68"/>
      <c r="P959" s="68"/>
      <c r="Q959" s="125"/>
      <c r="R959" s="68"/>
    </row>
    <row r="960" spans="1:18" ht="33.75" customHeight="1">
      <c r="A960" s="68"/>
      <c r="B960" s="68"/>
      <c r="C960" s="68"/>
      <c r="D960" s="68"/>
      <c r="E960" s="68"/>
      <c r="F960" s="68"/>
      <c r="G960" s="68"/>
      <c r="H960" s="68"/>
      <c r="I960" s="68"/>
      <c r="J960" s="68"/>
      <c r="K960" s="68"/>
      <c r="L960" s="68"/>
      <c r="M960" s="68"/>
      <c r="N960" s="68"/>
      <c r="O960" s="68"/>
      <c r="P960" s="68"/>
      <c r="Q960" s="125"/>
      <c r="R960" s="68"/>
    </row>
    <row r="961" spans="1:18" ht="33.75" customHeight="1">
      <c r="A961" s="68"/>
      <c r="B961" s="68"/>
      <c r="C961" s="68"/>
      <c r="D961" s="68"/>
      <c r="E961" s="68"/>
      <c r="F961" s="68"/>
      <c r="G961" s="68"/>
      <c r="H961" s="68"/>
      <c r="I961" s="68"/>
      <c r="J961" s="68"/>
      <c r="K961" s="68"/>
      <c r="L961" s="68"/>
      <c r="M961" s="68"/>
      <c r="N961" s="68"/>
      <c r="O961" s="68"/>
      <c r="P961" s="68"/>
      <c r="Q961" s="125"/>
      <c r="R961" s="68"/>
    </row>
    <row r="962" spans="1:18" ht="33.75" customHeight="1">
      <c r="A962" s="68"/>
      <c r="B962" s="68"/>
      <c r="C962" s="68"/>
      <c r="D962" s="68"/>
      <c r="E962" s="68"/>
      <c r="F962" s="68"/>
      <c r="G962" s="68"/>
      <c r="H962" s="68"/>
      <c r="I962" s="68"/>
      <c r="J962" s="68"/>
      <c r="K962" s="68"/>
      <c r="L962" s="68"/>
      <c r="M962" s="68"/>
      <c r="N962" s="68"/>
      <c r="O962" s="68"/>
      <c r="P962" s="68"/>
      <c r="Q962" s="125"/>
      <c r="R962" s="68"/>
    </row>
    <row r="963" spans="1:18" ht="33.75" customHeight="1">
      <c r="A963" s="68"/>
      <c r="B963" s="68"/>
      <c r="C963" s="68"/>
      <c r="D963" s="68"/>
      <c r="E963" s="68"/>
      <c r="F963" s="68"/>
      <c r="G963" s="68"/>
      <c r="H963" s="68"/>
      <c r="I963" s="68"/>
      <c r="J963" s="68"/>
      <c r="K963" s="68"/>
      <c r="L963" s="68"/>
      <c r="M963" s="68"/>
      <c r="N963" s="68"/>
      <c r="O963" s="68"/>
      <c r="P963" s="68"/>
      <c r="Q963" s="125"/>
      <c r="R963" s="68"/>
    </row>
  </sheetData>
  <hyperlinks>
    <hyperlink ref="I2" r:id="rId1" xr:uid="{8E95A02D-5AB1-413E-B9D7-E4419D40CF11}"/>
    <hyperlink ref="I3" r:id="rId2" xr:uid="{948BAD7F-E51D-4D62-8CD1-C539326895C4}"/>
    <hyperlink ref="I4" r:id="rId3" xr:uid="{7EF0335E-2A79-4483-8D0E-F96AD74B5106}"/>
    <hyperlink ref="I5" r:id="rId4" xr:uid="{F2CEF09F-C206-480A-BE9E-1BC6D9C47F7B}"/>
    <hyperlink ref="I7" r:id="rId5" xr:uid="{215BD34F-3FA3-4D9A-9650-F08F1D6E9F6C}"/>
    <hyperlink ref="I8" r:id="rId6" xr:uid="{D07DF71C-F443-4FB4-A99F-8EC9C302F080}"/>
    <hyperlink ref="I9" r:id="rId7" xr:uid="{113B3673-9925-4CB6-8B7A-D1C5E8781BBA}"/>
    <hyperlink ref="I10" r:id="rId8" xr:uid="{E197FAFE-A923-4E41-9161-09DD150D99E9}"/>
    <hyperlink ref="I11" r:id="rId9" xr:uid="{636585EE-D264-4C04-AC3D-06BB6BABBFE8}"/>
    <hyperlink ref="I12" r:id="rId10" xr:uid="{418BD272-D704-43EF-91BC-439B6E5DE5AD}"/>
    <hyperlink ref="I13" r:id="rId11" xr:uid="{73786E44-6385-4545-B355-A3312AB89D7B}"/>
    <hyperlink ref="I14" r:id="rId12" xr:uid="{6470201C-8B4F-4A03-9CF6-63CFC84EF450}"/>
    <hyperlink ref="I15" r:id="rId13" xr:uid="{8CD4C7BB-DEDF-444B-846F-861FF38B6469}"/>
    <hyperlink ref="I16" r:id="rId14" xr:uid="{1CE98041-0469-4DD0-A6EF-D8233031D887}"/>
    <hyperlink ref="I17" r:id="rId15" xr:uid="{F501B56F-8900-45AA-96F5-3584D60A8B83}"/>
    <hyperlink ref="I18" r:id="rId16" xr:uid="{ACC17D27-D2E0-4C2A-95EC-76C218729B2A}"/>
    <hyperlink ref="I19" r:id="rId17" xr:uid="{FC29C3D5-CF3A-40B1-9DE9-FF4634157999}"/>
    <hyperlink ref="I20" r:id="rId18" xr:uid="{54EE1B0D-C0B0-4214-9273-C42E7B8A0C35}"/>
    <hyperlink ref="I21" r:id="rId19" xr:uid="{521163FB-CED4-4923-983A-7EDE98927F76}"/>
    <hyperlink ref="I22" r:id="rId20" xr:uid="{920EB92A-964E-41D6-837B-2FE82A242BB9}"/>
    <hyperlink ref="I23" r:id="rId21" xr:uid="{88441779-CA26-4DE2-9150-42C31579DFCE}"/>
    <hyperlink ref="I24" r:id="rId22" xr:uid="{925AD378-51B2-4F97-8C16-13362A9B3211}"/>
    <hyperlink ref="I25" r:id="rId23" xr:uid="{63F719B8-B7FD-4947-82A6-11D7F627174A}"/>
    <hyperlink ref="I26" r:id="rId24" xr:uid="{712C25E5-2853-4B64-91C3-985C724EB08E}"/>
    <hyperlink ref="I27" r:id="rId25" xr:uid="{5788822E-7210-4C58-AA56-1E2850C0AE2D}"/>
    <hyperlink ref="I28" r:id="rId26" xr:uid="{A3DE2DBF-34FC-4D60-9959-178A5DB523A3}"/>
    <hyperlink ref="I29" r:id="rId27" xr:uid="{BFFB7ECB-92A5-4D2F-BD92-DC704E52F082}"/>
    <hyperlink ref="I30" r:id="rId28" xr:uid="{89B3CB87-2729-4E31-83A1-31F3394B5055}"/>
    <hyperlink ref="I31" r:id="rId29" xr:uid="{3F8CD792-8700-4AE7-A3B5-E6B327CC1CD9}"/>
    <hyperlink ref="I32" r:id="rId30" xr:uid="{09C4A78E-E1CC-4BB3-A9FA-34DE3051FDE1}"/>
    <hyperlink ref="I33" r:id="rId31" xr:uid="{A7F86B7F-AD75-4841-916C-EA0D9F923954}"/>
    <hyperlink ref="I34" r:id="rId32" xr:uid="{E4025091-D072-4C84-81C4-147779808862}"/>
    <hyperlink ref="I35" r:id="rId33" xr:uid="{77E18B30-D5DF-4BD8-B0BA-EB9B06D97E48}"/>
    <hyperlink ref="I36" r:id="rId34" xr:uid="{6072FC8A-1206-487F-9CD6-B9ECA904A56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AE4C2-E8DA-4E6C-8CFC-2FAB843D2837}">
  <dimension ref="A1:U4"/>
  <sheetViews>
    <sheetView topLeftCell="C1" workbookViewId="0">
      <selection activeCell="D18" sqref="D18"/>
    </sheetView>
  </sheetViews>
  <sheetFormatPr defaultRowHeight="15"/>
  <cols>
    <col min="1" max="2" width="24.42578125" customWidth="1"/>
    <col min="3" max="3" width="54.85546875" customWidth="1"/>
    <col min="4" max="4" width="35.85546875" customWidth="1"/>
    <col min="5" max="6" width="24.42578125" customWidth="1"/>
  </cols>
  <sheetData>
    <row r="1" spans="1:21">
      <c r="A1" s="2"/>
      <c r="B1" s="3" t="s">
        <v>178</v>
      </c>
      <c r="C1" s="4" t="s">
        <v>179</v>
      </c>
      <c r="D1" s="5" t="s">
        <v>180</v>
      </c>
      <c r="E1" s="5" t="s">
        <v>181</v>
      </c>
      <c r="F1" s="2" t="s">
        <v>18</v>
      </c>
      <c r="G1" s="8"/>
      <c r="H1" s="8"/>
      <c r="I1" s="8"/>
      <c r="J1" s="8"/>
      <c r="K1" s="8"/>
      <c r="L1" s="8"/>
      <c r="M1" s="8"/>
      <c r="N1" s="8"/>
      <c r="O1" s="8"/>
      <c r="P1" s="8"/>
      <c r="Q1" s="8"/>
      <c r="R1" s="8"/>
      <c r="S1" s="8"/>
      <c r="T1" s="8"/>
      <c r="U1" s="8"/>
    </row>
    <row r="2" spans="1:21">
      <c r="B2" t="s">
        <v>1985</v>
      </c>
      <c r="C2" s="9" t="s">
        <v>1986</v>
      </c>
    </row>
    <row r="3" spans="1:21">
      <c r="C3" s="9" t="s">
        <v>1987</v>
      </c>
    </row>
    <row r="4" spans="1:21">
      <c r="C4" t="s">
        <v>1988</v>
      </c>
    </row>
  </sheetData>
  <hyperlinks>
    <hyperlink ref="C2" r:id="rId1" display="https://candid.org/" xr:uid="{9994B473-A163-4A8E-A982-689710E89261}"/>
    <hyperlink ref="C3" r:id="rId2" display="https://iatistandard.org/en/" xr:uid="{0FE70FE1-A414-40A5-A3E6-6CFEB6DF24D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04DD8-5D72-42D1-9F65-2BCF1DF98C25}">
  <dimension ref="A1:M29"/>
  <sheetViews>
    <sheetView topLeftCell="B1" workbookViewId="0">
      <selection activeCell="E3" sqref="E3"/>
    </sheetView>
  </sheetViews>
  <sheetFormatPr defaultRowHeight="15"/>
  <cols>
    <col min="2" max="2" width="129" customWidth="1"/>
    <col min="3" max="3" width="23.140625" customWidth="1"/>
    <col min="5" max="5" width="43.85546875" customWidth="1"/>
  </cols>
  <sheetData>
    <row r="1" spans="1:5">
      <c r="B1" t="s">
        <v>1989</v>
      </c>
      <c r="C1" s="12" t="s">
        <v>1990</v>
      </c>
      <c r="D1" s="11" t="s">
        <v>1991</v>
      </c>
      <c r="E1" s="13" t="s">
        <v>18</v>
      </c>
    </row>
    <row r="2" spans="1:5">
      <c r="B2" s="9" t="s">
        <v>1992</v>
      </c>
      <c r="C2" s="12" t="s">
        <v>1993</v>
      </c>
      <c r="D2" s="12" t="s">
        <v>1994</v>
      </c>
      <c r="E2" t="s">
        <v>1995</v>
      </c>
    </row>
    <row r="3" spans="1:5" ht="75">
      <c r="B3" s="9" t="s">
        <v>1996</v>
      </c>
      <c r="C3" s="12" t="s">
        <v>1997</v>
      </c>
      <c r="D3" s="12" t="s">
        <v>1991</v>
      </c>
      <c r="E3" s="1" t="s">
        <v>1998</v>
      </c>
    </row>
    <row r="4" spans="1:5" ht="30">
      <c r="B4" s="14" t="s">
        <v>1999</v>
      </c>
      <c r="C4" s="12" t="s">
        <v>1997</v>
      </c>
      <c r="D4" t="s">
        <v>1991</v>
      </c>
      <c r="E4" s="1" t="s">
        <v>2000</v>
      </c>
    </row>
    <row r="5" spans="1:5">
      <c r="B5" s="9" t="s">
        <v>2001</v>
      </c>
      <c r="C5" s="12" t="s">
        <v>1993</v>
      </c>
      <c r="D5" s="12" t="s">
        <v>1994</v>
      </c>
    </row>
    <row r="6" spans="1:5">
      <c r="B6" s="9" t="s">
        <v>2002</v>
      </c>
      <c r="C6" s="12" t="s">
        <v>1993</v>
      </c>
      <c r="D6" s="12" t="s">
        <v>1994</v>
      </c>
    </row>
    <row r="7" spans="1:5">
      <c r="B7" s="9" t="s">
        <v>2003</v>
      </c>
      <c r="C7" s="12" t="s">
        <v>1997</v>
      </c>
    </row>
    <row r="8" spans="1:5">
      <c r="B8" s="9" t="s">
        <v>2004</v>
      </c>
      <c r="C8" s="12" t="s">
        <v>1993</v>
      </c>
      <c r="D8" s="12" t="s">
        <v>1994</v>
      </c>
    </row>
    <row r="9" spans="1:5">
      <c r="B9" s="9" t="s">
        <v>2005</v>
      </c>
      <c r="C9" s="12" t="s">
        <v>1993</v>
      </c>
      <c r="D9" s="12" t="s">
        <v>1994</v>
      </c>
    </row>
    <row r="10" spans="1:5">
      <c r="B10" s="9" t="s">
        <v>2006</v>
      </c>
      <c r="C10" s="12" t="s">
        <v>1997</v>
      </c>
      <c r="D10" s="12" t="s">
        <v>1991</v>
      </c>
    </row>
    <row r="11" spans="1:5">
      <c r="A11" s="10"/>
      <c r="B11" s="9" t="s">
        <v>2007</v>
      </c>
    </row>
    <row r="12" spans="1:5">
      <c r="B12" s="9" t="s">
        <v>2008</v>
      </c>
      <c r="D12" t="s">
        <v>1994</v>
      </c>
    </row>
    <row r="26" spans="13:13">
      <c r="M26">
        <v>115731</v>
      </c>
    </row>
    <row r="27" spans="13:13">
      <c r="M27">
        <v>10000</v>
      </c>
    </row>
    <row r="28" spans="13:13">
      <c r="M28">
        <v>50000</v>
      </c>
    </row>
    <row r="29" spans="13:13">
      <c r="M29">
        <f>M26-M27-M28</f>
        <v>55731</v>
      </c>
    </row>
  </sheetData>
  <hyperlinks>
    <hyperlink ref="B2" r:id="rId1" xr:uid="{0838733E-28D7-43C6-A2F9-4B70BE6B29D1}"/>
    <hyperlink ref="B3" r:id="rId2" xr:uid="{90F7AB36-0B09-49B0-AFFE-195C4E6281B4}"/>
    <hyperlink ref="B4" r:id="rId3" xr:uid="{FF14D98C-00E4-45FD-B93C-223BC1FCB977}"/>
    <hyperlink ref="B5" r:id="rId4" xr:uid="{B56AF9C2-70EF-48E6-968C-13A84CC1F4D4}"/>
    <hyperlink ref="B6" r:id="rId5" location="gsc.tab=0" xr:uid="{8326BF32-965F-4FE7-8D20-A51DA2738347}"/>
    <hyperlink ref="B7" r:id="rId6" xr:uid="{2B59DCEB-3375-49A4-8877-E52FDEA27F5D}"/>
    <hyperlink ref="B8" r:id="rId7" xr:uid="{81AD1311-00F3-42D4-8AB9-6AEF5EFF396F}"/>
    <hyperlink ref="B9" r:id="rId8" xr:uid="{A06271F4-24B7-489D-8469-EC31F4F53562}"/>
    <hyperlink ref="B10" r:id="rId9" xr:uid="{70012B83-A7ED-4D04-B184-E61E31421745}"/>
    <hyperlink ref="B11" r:id="rId10" xr:uid="{CB3D8F8D-58B6-4D90-B833-9AB896825838}"/>
    <hyperlink ref="B12" r:id="rId11" xr:uid="{2381192B-A1E6-430D-913B-CF64F12C6D2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4DA96-A1CB-4AE1-87D9-EE5B04B6DC32}">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F1006-505F-4F06-B202-26C0F1704DBE}">
  <dimension ref="A1:Z103"/>
  <sheetViews>
    <sheetView workbookViewId="0">
      <pane ySplit="1" topLeftCell="A83" activePane="bottomLeft" state="frozen"/>
      <selection pane="bottomLeft" activeCell="A103" sqref="A103:XFD103"/>
    </sheetView>
  </sheetViews>
  <sheetFormatPr defaultColWidth="9" defaultRowHeight="12.75"/>
  <cols>
    <col min="1" max="1" width="22.85546875" style="62" customWidth="1"/>
    <col min="2" max="2" width="34.140625" style="62" bestFit="1" customWidth="1"/>
    <col min="3" max="3" width="26.7109375" style="62" customWidth="1"/>
    <col min="4" max="4" width="19" style="62" customWidth="1"/>
    <col min="5" max="5" width="15.140625" style="62" customWidth="1"/>
    <col min="6" max="6" width="15.85546875" style="62" customWidth="1"/>
    <col min="7" max="7" width="24.42578125" style="62" customWidth="1"/>
    <col min="8" max="8" width="47.5703125" style="62" customWidth="1"/>
    <col min="9" max="16384" width="9" style="62"/>
  </cols>
  <sheetData>
    <row r="1" spans="1:22">
      <c r="A1" s="72" t="s">
        <v>177</v>
      </c>
      <c r="B1" s="77" t="s">
        <v>2009</v>
      </c>
      <c r="C1" s="72" t="s">
        <v>179</v>
      </c>
      <c r="D1" s="72" t="s">
        <v>183</v>
      </c>
      <c r="E1" s="72" t="s">
        <v>184</v>
      </c>
      <c r="F1" s="72" t="s">
        <v>2010</v>
      </c>
      <c r="G1" s="72" t="s">
        <v>2011</v>
      </c>
      <c r="H1" s="72" t="s">
        <v>18</v>
      </c>
      <c r="I1" s="77"/>
      <c r="J1" s="77"/>
      <c r="K1" s="77"/>
      <c r="L1" s="77"/>
      <c r="M1" s="77"/>
      <c r="N1" s="77"/>
      <c r="O1" s="77"/>
      <c r="P1" s="77"/>
      <c r="Q1" s="77"/>
      <c r="R1" s="77"/>
      <c r="S1" s="77"/>
      <c r="T1" s="77"/>
      <c r="U1" s="77"/>
      <c r="V1" s="77"/>
    </row>
    <row r="2" spans="1:22">
      <c r="A2" s="48" t="s">
        <v>2012</v>
      </c>
      <c r="B2" s="48" t="s">
        <v>2013</v>
      </c>
      <c r="C2" s="50" t="s">
        <v>2014</v>
      </c>
      <c r="D2" s="48" t="s">
        <v>2015</v>
      </c>
      <c r="E2" s="48" t="s">
        <v>367</v>
      </c>
      <c r="F2" s="48" t="s">
        <v>2016</v>
      </c>
      <c r="G2" s="48" t="s">
        <v>2017</v>
      </c>
    </row>
    <row r="3" spans="1:22">
      <c r="A3" s="48" t="s">
        <v>2018</v>
      </c>
      <c r="B3" s="48" t="s">
        <v>2019</v>
      </c>
      <c r="C3" s="51" t="s">
        <v>2020</v>
      </c>
      <c r="D3" s="48" t="s">
        <v>2021</v>
      </c>
      <c r="E3" s="49">
        <v>46080</v>
      </c>
      <c r="F3" s="48" t="s">
        <v>37</v>
      </c>
      <c r="G3" s="48" t="s">
        <v>2022</v>
      </c>
      <c r="H3" s="62" t="s">
        <v>2023</v>
      </c>
    </row>
    <row r="4" spans="1:22">
      <c r="A4" s="48" t="s">
        <v>2024</v>
      </c>
      <c r="B4" s="48" t="s">
        <v>2025</v>
      </c>
      <c r="C4" s="50" t="s">
        <v>2026</v>
      </c>
      <c r="D4" s="48" t="s">
        <v>1586</v>
      </c>
      <c r="E4" s="49">
        <v>46082</v>
      </c>
      <c r="F4" s="48" t="s">
        <v>37</v>
      </c>
      <c r="G4" s="48" t="s">
        <v>2027</v>
      </c>
      <c r="H4" s="78" t="s">
        <v>2028</v>
      </c>
    </row>
    <row r="5" spans="1:22">
      <c r="A5" s="48" t="s">
        <v>2029</v>
      </c>
      <c r="B5" s="48" t="s">
        <v>2030</v>
      </c>
      <c r="C5" s="50" t="s">
        <v>1585</v>
      </c>
      <c r="D5" s="48" t="s">
        <v>196</v>
      </c>
      <c r="E5" s="49">
        <v>46083</v>
      </c>
      <c r="F5" s="48" t="s">
        <v>37</v>
      </c>
      <c r="G5" s="48" t="s">
        <v>2031</v>
      </c>
      <c r="H5" s="77" t="s">
        <v>2032</v>
      </c>
    </row>
    <row r="6" spans="1:22">
      <c r="A6" s="48" t="s">
        <v>2033</v>
      </c>
      <c r="B6" s="48" t="s">
        <v>2034</v>
      </c>
      <c r="C6" s="50" t="s">
        <v>2035</v>
      </c>
      <c r="D6" s="48" t="s">
        <v>196</v>
      </c>
      <c r="E6" s="49">
        <v>46069</v>
      </c>
      <c r="F6" s="48" t="s">
        <v>2036</v>
      </c>
      <c r="G6" s="48" t="s">
        <v>2037</v>
      </c>
      <c r="H6" s="77" t="s">
        <v>2038</v>
      </c>
    </row>
    <row r="7" spans="1:22">
      <c r="A7" s="48" t="s">
        <v>609</v>
      </c>
      <c r="B7" s="48" t="s">
        <v>2039</v>
      </c>
      <c r="C7" s="50" t="s">
        <v>2040</v>
      </c>
      <c r="D7" s="48" t="s">
        <v>2021</v>
      </c>
      <c r="E7" s="49">
        <v>46066</v>
      </c>
      <c r="F7" s="48" t="s">
        <v>2041</v>
      </c>
      <c r="G7" s="48" t="s">
        <v>2042</v>
      </c>
      <c r="H7" s="77" t="s">
        <v>2043</v>
      </c>
    </row>
    <row r="8" spans="1:22">
      <c r="A8" s="48" t="s">
        <v>2044</v>
      </c>
      <c r="B8" s="48" t="s">
        <v>2045</v>
      </c>
      <c r="C8" s="50" t="s">
        <v>2046</v>
      </c>
      <c r="D8" s="48" t="s">
        <v>196</v>
      </c>
      <c r="E8" s="49">
        <v>46063</v>
      </c>
      <c r="F8" s="48" t="s">
        <v>2047</v>
      </c>
      <c r="G8" s="48" t="s">
        <v>2048</v>
      </c>
      <c r="H8" s="79" t="s">
        <v>2049</v>
      </c>
    </row>
    <row r="9" spans="1:22">
      <c r="A9" s="66" t="s">
        <v>2050</v>
      </c>
      <c r="B9" s="66" t="s">
        <v>2051</v>
      </c>
      <c r="C9" s="73" t="s">
        <v>1112</v>
      </c>
      <c r="D9" s="66" t="s">
        <v>2052</v>
      </c>
      <c r="E9" s="67">
        <v>46069</v>
      </c>
      <c r="F9" s="66" t="s">
        <v>37</v>
      </c>
      <c r="G9" s="66" t="s">
        <v>2053</v>
      </c>
      <c r="H9" s="80" t="s">
        <v>2054</v>
      </c>
      <c r="I9" s="80"/>
      <c r="J9" s="80"/>
      <c r="K9" s="80"/>
      <c r="L9" s="80"/>
      <c r="M9" s="80"/>
      <c r="N9" s="80"/>
      <c r="O9" s="80"/>
      <c r="P9" s="80"/>
      <c r="Q9" s="80"/>
      <c r="R9" s="80"/>
      <c r="S9" s="80"/>
      <c r="T9" s="80"/>
      <c r="U9" s="80"/>
      <c r="V9" s="80"/>
    </row>
    <row r="10" spans="1:22">
      <c r="A10" s="48" t="s">
        <v>2055</v>
      </c>
      <c r="B10" s="48" t="s">
        <v>2056</v>
      </c>
      <c r="C10" s="50" t="s">
        <v>2057</v>
      </c>
      <c r="D10" s="48" t="s">
        <v>2058</v>
      </c>
      <c r="E10" s="49">
        <v>46076</v>
      </c>
      <c r="F10" s="48" t="s">
        <v>2059</v>
      </c>
      <c r="G10" s="48" t="s">
        <v>2060</v>
      </c>
      <c r="H10" s="62" t="s">
        <v>2061</v>
      </c>
    </row>
    <row r="11" spans="1:22">
      <c r="A11" s="48" t="s">
        <v>2062</v>
      </c>
      <c r="B11" s="48" t="s">
        <v>2063</v>
      </c>
      <c r="C11" s="50" t="s">
        <v>1112</v>
      </c>
      <c r="D11" s="48" t="s">
        <v>196</v>
      </c>
      <c r="E11" s="49">
        <v>46080</v>
      </c>
      <c r="F11" s="48" t="s">
        <v>355</v>
      </c>
      <c r="G11" s="48" t="s">
        <v>2064</v>
      </c>
      <c r="H11" s="62" t="s">
        <v>2065</v>
      </c>
    </row>
    <row r="12" spans="1:22">
      <c r="A12" s="48" t="s">
        <v>2066</v>
      </c>
      <c r="B12" s="48" t="s">
        <v>2067</v>
      </c>
      <c r="C12" s="50" t="s">
        <v>1112</v>
      </c>
      <c r="D12" s="48" t="s">
        <v>2068</v>
      </c>
      <c r="E12" s="49">
        <v>46058</v>
      </c>
      <c r="F12" s="48" t="s">
        <v>2069</v>
      </c>
      <c r="G12" s="48" t="s">
        <v>2070</v>
      </c>
      <c r="H12" s="62" t="s">
        <v>2071</v>
      </c>
    </row>
    <row r="13" spans="1:22">
      <c r="A13" s="48" t="s">
        <v>2072</v>
      </c>
      <c r="B13" s="48" t="s">
        <v>2073</v>
      </c>
      <c r="C13" s="50" t="s">
        <v>2074</v>
      </c>
      <c r="D13" s="48">
        <v>10000</v>
      </c>
      <c r="E13" s="49">
        <v>46069</v>
      </c>
      <c r="F13" s="48" t="s">
        <v>2075</v>
      </c>
      <c r="G13" s="48" t="s">
        <v>2076</v>
      </c>
      <c r="H13" s="77" t="s">
        <v>2077</v>
      </c>
    </row>
    <row r="14" spans="1:22">
      <c r="A14" s="48" t="s">
        <v>2078</v>
      </c>
      <c r="B14" s="48" t="s">
        <v>2079</v>
      </c>
      <c r="C14" s="50" t="s">
        <v>2080</v>
      </c>
      <c r="D14" s="48" t="s">
        <v>2081</v>
      </c>
      <c r="E14" s="49">
        <v>46112</v>
      </c>
      <c r="F14" s="48" t="s">
        <v>2082</v>
      </c>
      <c r="G14" s="48" t="s">
        <v>2083</v>
      </c>
      <c r="H14" s="81" t="s">
        <v>2084</v>
      </c>
    </row>
    <row r="15" spans="1:22">
      <c r="A15" s="48" t="s">
        <v>2085</v>
      </c>
      <c r="B15" s="48" t="s">
        <v>2086</v>
      </c>
      <c r="C15" s="50" t="s">
        <v>2087</v>
      </c>
      <c r="D15" s="48" t="s">
        <v>2088</v>
      </c>
      <c r="E15" s="52">
        <v>46054</v>
      </c>
      <c r="F15" s="48" t="s">
        <v>37</v>
      </c>
      <c r="G15" s="48" t="s">
        <v>2089</v>
      </c>
      <c r="H15" s="62" t="s">
        <v>2090</v>
      </c>
    </row>
    <row r="16" spans="1:22">
      <c r="A16" s="48" t="s">
        <v>817</v>
      </c>
      <c r="B16" s="48" t="s">
        <v>2091</v>
      </c>
      <c r="C16" s="50" t="s">
        <v>2092</v>
      </c>
      <c r="D16" s="48" t="s">
        <v>196</v>
      </c>
      <c r="E16" s="49">
        <v>46076</v>
      </c>
      <c r="F16" s="48" t="s">
        <v>37</v>
      </c>
      <c r="G16" s="48" t="s">
        <v>744</v>
      </c>
      <c r="H16" s="82" t="s">
        <v>2093</v>
      </c>
    </row>
    <row r="17" spans="1:8">
      <c r="A17" s="48" t="s">
        <v>2094</v>
      </c>
      <c r="B17" s="48" t="s">
        <v>2095</v>
      </c>
      <c r="C17" s="50" t="s">
        <v>2096</v>
      </c>
      <c r="D17" s="48" t="s">
        <v>196</v>
      </c>
      <c r="E17" s="49">
        <v>46112</v>
      </c>
      <c r="F17" s="48" t="s">
        <v>37</v>
      </c>
      <c r="G17" s="48" t="s">
        <v>2097</v>
      </c>
      <c r="H17" s="83" t="s">
        <v>2098</v>
      </c>
    </row>
    <row r="18" spans="1:8">
      <c r="A18" s="48" t="s">
        <v>2099</v>
      </c>
      <c r="B18" s="48" t="s">
        <v>2100</v>
      </c>
      <c r="C18" s="50" t="s">
        <v>2101</v>
      </c>
      <c r="D18" s="48" t="s">
        <v>1186</v>
      </c>
      <c r="E18" s="49">
        <v>46064</v>
      </c>
      <c r="F18" s="48" t="s">
        <v>37</v>
      </c>
      <c r="G18" s="48" t="s">
        <v>2102</v>
      </c>
      <c r="H18" s="48" t="s">
        <v>2103</v>
      </c>
    </row>
    <row r="19" spans="1:8">
      <c r="A19" s="48" t="s">
        <v>1362</v>
      </c>
      <c r="B19" s="48" t="s">
        <v>1584</v>
      </c>
      <c r="C19" s="50" t="s">
        <v>1585</v>
      </c>
      <c r="D19" s="48" t="s">
        <v>1586</v>
      </c>
      <c r="E19" s="49">
        <v>46073</v>
      </c>
      <c r="F19" s="48" t="s">
        <v>159</v>
      </c>
      <c r="G19" s="48" t="s">
        <v>1587</v>
      </c>
      <c r="H19" s="48" t="s">
        <v>1588</v>
      </c>
    </row>
    <row r="20" spans="1:8">
      <c r="A20" s="48" t="s">
        <v>1053</v>
      </c>
      <c r="B20" s="48" t="s">
        <v>1054</v>
      </c>
      <c r="C20" s="50" t="s">
        <v>1055</v>
      </c>
      <c r="D20" s="53">
        <v>20000</v>
      </c>
      <c r="E20" s="49">
        <v>46112</v>
      </c>
      <c r="F20" s="48" t="s">
        <v>37</v>
      </c>
      <c r="G20" s="48" t="s">
        <v>1056</v>
      </c>
    </row>
    <row r="21" spans="1:8">
      <c r="A21" s="62" t="s">
        <v>2104</v>
      </c>
      <c r="B21" s="62" t="s">
        <v>2105</v>
      </c>
      <c r="C21" s="51" t="s">
        <v>2106</v>
      </c>
      <c r="E21" s="62" t="s">
        <v>2107</v>
      </c>
      <c r="G21" s="62" t="s">
        <v>2108</v>
      </c>
      <c r="H21" s="62" t="s">
        <v>2109</v>
      </c>
    </row>
    <row r="22" spans="1:8">
      <c r="A22" s="62" t="s">
        <v>2110</v>
      </c>
      <c r="B22" s="62" t="s">
        <v>2111</v>
      </c>
      <c r="C22" s="51" t="s">
        <v>2112</v>
      </c>
      <c r="F22" s="62" t="s">
        <v>2113</v>
      </c>
      <c r="G22" s="62" t="s">
        <v>2114</v>
      </c>
      <c r="H22" s="62" t="s">
        <v>2115</v>
      </c>
    </row>
    <row r="23" spans="1:8">
      <c r="A23" s="62" t="s">
        <v>2116</v>
      </c>
      <c r="B23" s="62" t="s">
        <v>2117</v>
      </c>
      <c r="C23" s="51" t="s">
        <v>2118</v>
      </c>
      <c r="E23" s="84">
        <v>46143</v>
      </c>
      <c r="F23" s="62" t="s">
        <v>2119</v>
      </c>
      <c r="G23" s="62" t="s">
        <v>102</v>
      </c>
      <c r="H23" s="62" t="s">
        <v>2120</v>
      </c>
    </row>
    <row r="24" spans="1:8">
      <c r="A24" s="62" t="s">
        <v>2121</v>
      </c>
      <c r="C24" s="51" t="s">
        <v>2122</v>
      </c>
      <c r="H24" s="62" t="s">
        <v>2123</v>
      </c>
    </row>
    <row r="25" spans="1:8">
      <c r="A25" s="48" t="s">
        <v>1110</v>
      </c>
      <c r="B25" s="48" t="s">
        <v>1111</v>
      </c>
      <c r="C25" s="50" t="s">
        <v>1112</v>
      </c>
      <c r="D25" s="48" t="s">
        <v>196</v>
      </c>
      <c r="E25" s="49">
        <v>46068</v>
      </c>
      <c r="F25" s="48" t="s">
        <v>37</v>
      </c>
      <c r="G25" s="48" t="s">
        <v>1113</v>
      </c>
    </row>
    <row r="26" spans="1:8">
      <c r="A26" s="48" t="s">
        <v>667</v>
      </c>
      <c r="B26" s="48" t="s">
        <v>668</v>
      </c>
      <c r="C26" s="50" t="s">
        <v>669</v>
      </c>
      <c r="D26" s="48" t="s">
        <v>264</v>
      </c>
      <c r="E26" s="49">
        <v>46142</v>
      </c>
      <c r="F26" s="48" t="s">
        <v>670</v>
      </c>
      <c r="G26" s="48" t="s">
        <v>671</v>
      </c>
    </row>
    <row r="27" spans="1:8">
      <c r="A27" s="48" t="s">
        <v>1064</v>
      </c>
      <c r="B27" s="48" t="s">
        <v>1065</v>
      </c>
      <c r="C27" s="50" t="s">
        <v>1066</v>
      </c>
      <c r="D27" s="48" t="s">
        <v>1067</v>
      </c>
      <c r="E27" s="49">
        <v>46071</v>
      </c>
      <c r="F27" s="48" t="s">
        <v>1068</v>
      </c>
      <c r="G27" s="48" t="s">
        <v>1069</v>
      </c>
    </row>
    <row r="28" spans="1:8">
      <c r="A28" s="48" t="s">
        <v>880</v>
      </c>
      <c r="B28" s="48" t="s">
        <v>881</v>
      </c>
      <c r="C28" s="50" t="s">
        <v>882</v>
      </c>
      <c r="D28" s="48" t="s">
        <v>883</v>
      </c>
      <c r="E28" s="49">
        <v>46081</v>
      </c>
      <c r="F28" s="48" t="s">
        <v>884</v>
      </c>
      <c r="G28" s="48" t="s">
        <v>885</v>
      </c>
    </row>
    <row r="29" spans="1:8">
      <c r="A29" s="48" t="s">
        <v>2124</v>
      </c>
      <c r="B29" s="48" t="s">
        <v>2125</v>
      </c>
      <c r="C29" s="50" t="s">
        <v>2126</v>
      </c>
      <c r="D29" s="48" t="s">
        <v>2127</v>
      </c>
      <c r="E29" s="49">
        <v>46096</v>
      </c>
      <c r="F29" s="48" t="s">
        <v>37</v>
      </c>
      <c r="G29" s="48" t="s">
        <v>2128</v>
      </c>
      <c r="H29" s="62" t="s">
        <v>2129</v>
      </c>
    </row>
    <row r="30" spans="1:8">
      <c r="A30" s="48" t="s">
        <v>2130</v>
      </c>
      <c r="B30" s="48" t="s">
        <v>2131</v>
      </c>
      <c r="C30" s="50" t="s">
        <v>2132</v>
      </c>
      <c r="D30" s="48" t="s">
        <v>196</v>
      </c>
      <c r="E30" s="48" t="s">
        <v>235</v>
      </c>
      <c r="F30" s="48" t="s">
        <v>2133</v>
      </c>
      <c r="G30" s="48" t="s">
        <v>2134</v>
      </c>
      <c r="H30" s="62" t="s">
        <v>2135</v>
      </c>
    </row>
    <row r="31" spans="1:8">
      <c r="A31" s="48" t="s">
        <v>1163</v>
      </c>
      <c r="B31" s="48" t="s">
        <v>1164</v>
      </c>
      <c r="C31" s="50" t="s">
        <v>1165</v>
      </c>
      <c r="D31" s="48" t="s">
        <v>1166</v>
      </c>
      <c r="E31" s="48" t="s">
        <v>1167</v>
      </c>
      <c r="F31" s="48" t="s">
        <v>37</v>
      </c>
      <c r="G31" s="48" t="s">
        <v>1168</v>
      </c>
      <c r="H31" s="85" t="s">
        <v>1169</v>
      </c>
    </row>
    <row r="32" spans="1:8">
      <c r="A32" s="48" t="s">
        <v>399</v>
      </c>
      <c r="B32" s="48" t="s">
        <v>400</v>
      </c>
      <c r="C32" s="50" t="s">
        <v>401</v>
      </c>
      <c r="D32" s="48" t="s">
        <v>196</v>
      </c>
      <c r="E32" s="49">
        <v>46069</v>
      </c>
      <c r="F32" s="48" t="s">
        <v>402</v>
      </c>
      <c r="G32" s="48" t="s">
        <v>403</v>
      </c>
      <c r="H32" s="85" t="s">
        <v>404</v>
      </c>
    </row>
    <row r="33" spans="1:8">
      <c r="A33" s="48" t="s">
        <v>1203</v>
      </c>
      <c r="B33" s="48" t="s">
        <v>1204</v>
      </c>
      <c r="C33" s="50" t="s">
        <v>1205</v>
      </c>
      <c r="D33" s="48" t="s">
        <v>1206</v>
      </c>
      <c r="E33" s="48" t="s">
        <v>382</v>
      </c>
      <c r="F33" s="48" t="s">
        <v>29</v>
      </c>
      <c r="G33" s="48" t="s">
        <v>1207</v>
      </c>
      <c r="H33" s="54" t="s">
        <v>1208</v>
      </c>
    </row>
    <row r="34" spans="1:8">
      <c r="A34" s="48" t="s">
        <v>271</v>
      </c>
      <c r="B34" s="48" t="s">
        <v>272</v>
      </c>
      <c r="C34" s="50" t="s">
        <v>273</v>
      </c>
      <c r="D34" s="48" t="s">
        <v>274</v>
      </c>
      <c r="E34" s="48" t="s">
        <v>275</v>
      </c>
      <c r="F34" s="48" t="s">
        <v>37</v>
      </c>
      <c r="G34" s="48" t="s">
        <v>276</v>
      </c>
      <c r="H34" s="54" t="s">
        <v>277</v>
      </c>
    </row>
    <row r="35" spans="1:8">
      <c r="A35" s="48" t="s">
        <v>2012</v>
      </c>
      <c r="B35" s="48" t="s">
        <v>2136</v>
      </c>
      <c r="C35" s="50" t="s">
        <v>2137</v>
      </c>
      <c r="D35" s="48" t="s">
        <v>2138</v>
      </c>
      <c r="E35" s="48" t="s">
        <v>2139</v>
      </c>
      <c r="F35" s="48" t="s">
        <v>37</v>
      </c>
      <c r="G35" s="48" t="s">
        <v>2140</v>
      </c>
      <c r="H35" s="54" t="s">
        <v>2141</v>
      </c>
    </row>
    <row r="36" spans="1:8">
      <c r="A36" s="48" t="s">
        <v>378</v>
      </c>
      <c r="B36" s="48" t="s">
        <v>379</v>
      </c>
      <c r="C36" s="50" t="s">
        <v>380</v>
      </c>
      <c r="D36" s="48" t="s">
        <v>381</v>
      </c>
      <c r="E36" s="48" t="s">
        <v>382</v>
      </c>
      <c r="F36" s="48" t="s">
        <v>37</v>
      </c>
      <c r="G36" s="48" t="s">
        <v>383</v>
      </c>
      <c r="H36" s="48" t="s">
        <v>384</v>
      </c>
    </row>
    <row r="37" spans="1:8">
      <c r="A37" s="48" t="s">
        <v>1070</v>
      </c>
      <c r="B37" s="48" t="s">
        <v>1071</v>
      </c>
      <c r="C37" s="50" t="s">
        <v>1072</v>
      </c>
      <c r="D37" s="48" t="s">
        <v>1073</v>
      </c>
      <c r="E37" s="48" t="s">
        <v>1074</v>
      </c>
      <c r="F37" s="48" t="s">
        <v>37</v>
      </c>
      <c r="G37" s="48" t="s">
        <v>1075</v>
      </c>
      <c r="H37" s="62" t="s">
        <v>1076</v>
      </c>
    </row>
    <row r="38" spans="1:8">
      <c r="A38" s="48" t="s">
        <v>1652</v>
      </c>
      <c r="B38" s="48" t="s">
        <v>1653</v>
      </c>
      <c r="C38" s="50" t="s">
        <v>1654</v>
      </c>
      <c r="D38" s="48" t="s">
        <v>1655</v>
      </c>
      <c r="E38" s="48" t="s">
        <v>1656</v>
      </c>
      <c r="F38" s="48" t="s">
        <v>37</v>
      </c>
      <c r="G38" s="48" t="s">
        <v>1657</v>
      </c>
      <c r="H38" s="86" t="s">
        <v>1658</v>
      </c>
    </row>
    <row r="39" spans="1:8">
      <c r="A39" s="48" t="s">
        <v>1539</v>
      </c>
      <c r="B39" s="48" t="s">
        <v>1540</v>
      </c>
      <c r="C39" s="50" t="s">
        <v>1541</v>
      </c>
      <c r="D39" s="48" t="s">
        <v>196</v>
      </c>
      <c r="E39" s="49" t="s">
        <v>422</v>
      </c>
      <c r="F39" s="48" t="s">
        <v>159</v>
      </c>
      <c r="G39" s="48" t="s">
        <v>1542</v>
      </c>
      <c r="H39" s="85" t="s">
        <v>1543</v>
      </c>
    </row>
    <row r="40" spans="1:8">
      <c r="A40" s="48" t="s">
        <v>1241</v>
      </c>
      <c r="B40" s="48" t="s">
        <v>1242</v>
      </c>
      <c r="C40" s="50" t="s">
        <v>1243</v>
      </c>
      <c r="D40" s="48" t="s">
        <v>1244</v>
      </c>
      <c r="E40" s="48" t="s">
        <v>1245</v>
      </c>
      <c r="F40" s="48" t="s">
        <v>37</v>
      </c>
      <c r="G40" s="48" t="s">
        <v>1246</v>
      </c>
      <c r="H40" s="62" t="s">
        <v>1247</v>
      </c>
    </row>
    <row r="41" spans="1:8">
      <c r="A41" s="48" t="s">
        <v>418</v>
      </c>
      <c r="B41" s="48" t="s">
        <v>419</v>
      </c>
      <c r="C41" s="50" t="s">
        <v>420</v>
      </c>
      <c r="D41" s="48" t="s">
        <v>421</v>
      </c>
      <c r="E41" s="48" t="s">
        <v>422</v>
      </c>
      <c r="F41" s="48" t="s">
        <v>423</v>
      </c>
      <c r="G41" s="48" t="s">
        <v>424</v>
      </c>
      <c r="H41" s="85" t="s">
        <v>425</v>
      </c>
    </row>
    <row r="42" spans="1:8">
      <c r="A42" s="48" t="s">
        <v>1114</v>
      </c>
      <c r="B42" s="48" t="s">
        <v>1115</v>
      </c>
      <c r="C42" s="50" t="s">
        <v>1116</v>
      </c>
      <c r="D42" s="48" t="s">
        <v>1117</v>
      </c>
      <c r="E42" s="49" t="s">
        <v>1118</v>
      </c>
      <c r="F42" s="48" t="s">
        <v>37</v>
      </c>
      <c r="G42" s="48" t="s">
        <v>1119</v>
      </c>
      <c r="H42" s="85" t="s">
        <v>1120</v>
      </c>
    </row>
    <row r="43" spans="1:8">
      <c r="A43" s="48" t="s">
        <v>1346</v>
      </c>
      <c r="B43" s="48" t="s">
        <v>1347</v>
      </c>
      <c r="C43" s="50" t="s">
        <v>1348</v>
      </c>
      <c r="D43" s="48" t="s">
        <v>196</v>
      </c>
      <c r="E43" s="48" t="s">
        <v>1349</v>
      </c>
      <c r="F43" s="48" t="s">
        <v>159</v>
      </c>
      <c r="G43" s="48" t="s">
        <v>1350</v>
      </c>
      <c r="H43" s="54" t="s">
        <v>1351</v>
      </c>
    </row>
    <row r="44" spans="1:8">
      <c r="A44" s="48" t="s">
        <v>868</v>
      </c>
      <c r="B44" s="48" t="s">
        <v>869</v>
      </c>
      <c r="C44" s="50" t="s">
        <v>870</v>
      </c>
      <c r="D44" s="48" t="s">
        <v>196</v>
      </c>
      <c r="E44" s="48" t="s">
        <v>871</v>
      </c>
      <c r="F44" s="48" t="s">
        <v>159</v>
      </c>
      <c r="G44" s="48" t="s">
        <v>872</v>
      </c>
      <c r="H44" s="77" t="s">
        <v>873</v>
      </c>
    </row>
    <row r="45" spans="1:8">
      <c r="A45" s="48" t="s">
        <v>232</v>
      </c>
      <c r="B45" s="48" t="s">
        <v>233</v>
      </c>
      <c r="C45" s="50" t="s">
        <v>234</v>
      </c>
      <c r="D45" s="48" t="s">
        <v>196</v>
      </c>
      <c r="E45" s="48" t="s">
        <v>235</v>
      </c>
      <c r="F45" s="48" t="s">
        <v>159</v>
      </c>
      <c r="G45" s="48" t="s">
        <v>236</v>
      </c>
      <c r="H45" s="87" t="s">
        <v>237</v>
      </c>
    </row>
    <row r="46" spans="1:8">
      <c r="A46" s="48" t="s">
        <v>1668</v>
      </c>
      <c r="B46" s="48" t="s">
        <v>1669</v>
      </c>
      <c r="C46" s="50" t="s">
        <v>1670</v>
      </c>
      <c r="D46" s="48" t="s">
        <v>1671</v>
      </c>
      <c r="E46" s="48" t="s">
        <v>1672</v>
      </c>
      <c r="F46" s="48" t="s">
        <v>37</v>
      </c>
      <c r="G46" s="48" t="s">
        <v>1673</v>
      </c>
      <c r="H46" s="88" t="s">
        <v>1674</v>
      </c>
    </row>
    <row r="47" spans="1:8">
      <c r="A47" s="48" t="s">
        <v>784</v>
      </c>
      <c r="B47" s="48" t="s">
        <v>785</v>
      </c>
      <c r="C47" s="50" t="s">
        <v>786</v>
      </c>
      <c r="D47" s="48" t="s">
        <v>787</v>
      </c>
      <c r="E47" s="48" t="s">
        <v>788</v>
      </c>
      <c r="F47" s="48" t="s">
        <v>789</v>
      </c>
      <c r="G47" s="48" t="s">
        <v>790</v>
      </c>
      <c r="H47" s="89" t="s">
        <v>791</v>
      </c>
    </row>
    <row r="48" spans="1:8">
      <c r="A48" s="48" t="s">
        <v>2130</v>
      </c>
      <c r="B48" s="48" t="s">
        <v>2142</v>
      </c>
      <c r="C48" s="51" t="s">
        <v>2143</v>
      </c>
      <c r="D48" s="48" t="s">
        <v>196</v>
      </c>
      <c r="E48" s="48" t="s">
        <v>235</v>
      </c>
      <c r="F48" s="48" t="s">
        <v>2133</v>
      </c>
      <c r="G48" s="48" t="s">
        <v>2144</v>
      </c>
      <c r="H48" s="62" t="s">
        <v>2145</v>
      </c>
    </row>
    <row r="49" spans="1:8">
      <c r="A49" s="48" t="s">
        <v>757</v>
      </c>
      <c r="B49" s="48" t="s">
        <v>758</v>
      </c>
      <c r="C49" s="50" t="s">
        <v>759</v>
      </c>
      <c r="D49" s="48" t="s">
        <v>760</v>
      </c>
      <c r="E49" s="48" t="s">
        <v>196</v>
      </c>
      <c r="F49" s="48" t="s">
        <v>761</v>
      </c>
      <c r="G49" s="48" t="s">
        <v>762</v>
      </c>
      <c r="H49" s="62" t="s">
        <v>763</v>
      </c>
    </row>
    <row r="50" spans="1:8">
      <c r="A50" s="48" t="s">
        <v>1675</v>
      </c>
      <c r="B50" s="48" t="s">
        <v>1676</v>
      </c>
      <c r="C50" s="50" t="s">
        <v>1677</v>
      </c>
      <c r="D50" s="48" t="s">
        <v>1678</v>
      </c>
      <c r="E50" s="48" t="s">
        <v>235</v>
      </c>
      <c r="F50" s="48" t="s">
        <v>37</v>
      </c>
      <c r="G50" s="48" t="s">
        <v>1679</v>
      </c>
      <c r="H50" s="90" t="s">
        <v>1680</v>
      </c>
    </row>
    <row r="51" spans="1:8">
      <c r="A51" s="48" t="s">
        <v>2146</v>
      </c>
      <c r="B51" s="48" t="s">
        <v>2147</v>
      </c>
      <c r="C51" s="50" t="s">
        <v>2148</v>
      </c>
      <c r="D51" s="48" t="s">
        <v>196</v>
      </c>
      <c r="E51" s="48" t="s">
        <v>2149</v>
      </c>
      <c r="F51" s="48" t="s">
        <v>37</v>
      </c>
      <c r="G51" s="48" t="s">
        <v>2150</v>
      </c>
      <c r="H51" s="62" t="s">
        <v>2151</v>
      </c>
    </row>
    <row r="52" spans="1:8">
      <c r="A52" s="48" t="s">
        <v>1031</v>
      </c>
      <c r="B52" s="48" t="s">
        <v>1032</v>
      </c>
      <c r="C52" s="50" t="s">
        <v>1033</v>
      </c>
      <c r="D52" s="48" t="s">
        <v>1034</v>
      </c>
      <c r="E52" s="48" t="s">
        <v>235</v>
      </c>
      <c r="F52" s="48" t="s">
        <v>37</v>
      </c>
      <c r="G52" s="48" t="s">
        <v>1035</v>
      </c>
      <c r="H52" s="62" t="s">
        <v>1036</v>
      </c>
    </row>
    <row r="53" spans="1:8">
      <c r="A53" s="48" t="s">
        <v>1019</v>
      </c>
      <c r="B53" s="48" t="s">
        <v>1020</v>
      </c>
      <c r="C53" s="50" t="s">
        <v>1021</v>
      </c>
      <c r="D53" s="48" t="s">
        <v>1022</v>
      </c>
      <c r="E53" s="49">
        <v>46059</v>
      </c>
      <c r="F53" s="48" t="s">
        <v>1023</v>
      </c>
      <c r="G53" s="48" t="s">
        <v>1024</v>
      </c>
      <c r="H53" s="91" t="s">
        <v>1025</v>
      </c>
    </row>
    <row r="54" spans="1:8">
      <c r="A54" s="48" t="s">
        <v>351</v>
      </c>
      <c r="B54" s="48" t="s">
        <v>352</v>
      </c>
      <c r="C54" s="51" t="s">
        <v>353</v>
      </c>
      <c r="D54" s="48" t="s">
        <v>354</v>
      </c>
      <c r="E54" s="49">
        <v>46105</v>
      </c>
      <c r="F54" s="48" t="s">
        <v>355</v>
      </c>
      <c r="G54" s="48" t="s">
        <v>356</v>
      </c>
      <c r="H54" s="77" t="s">
        <v>357</v>
      </c>
    </row>
    <row r="55" spans="1:8">
      <c r="A55" s="48" t="s">
        <v>2124</v>
      </c>
      <c r="B55" s="48" t="s">
        <v>2152</v>
      </c>
      <c r="C55" s="74" t="s">
        <v>2153</v>
      </c>
      <c r="D55" s="48" t="s">
        <v>2127</v>
      </c>
      <c r="E55" s="49">
        <v>46096</v>
      </c>
      <c r="F55" s="48" t="s">
        <v>37</v>
      </c>
      <c r="G55" s="48" t="s">
        <v>2154</v>
      </c>
      <c r="H55" s="62" t="s">
        <v>2155</v>
      </c>
    </row>
    <row r="56" spans="1:8">
      <c r="A56" s="48" t="s">
        <v>364</v>
      </c>
      <c r="B56" s="48" t="s">
        <v>365</v>
      </c>
      <c r="C56" s="48"/>
      <c r="D56" s="48" t="s">
        <v>366</v>
      </c>
      <c r="E56" s="48" t="s">
        <v>367</v>
      </c>
      <c r="F56" s="48" t="s">
        <v>368</v>
      </c>
      <c r="G56" s="48" t="s">
        <v>369</v>
      </c>
      <c r="H56" s="62" t="s">
        <v>370</v>
      </c>
    </row>
    <row r="57" spans="1:8" s="69" customFormat="1">
      <c r="A57" s="63" t="s">
        <v>2156</v>
      </c>
      <c r="B57" s="63" t="s">
        <v>2157</v>
      </c>
      <c r="C57" s="75" t="s">
        <v>2158</v>
      </c>
      <c r="D57" s="63" t="s">
        <v>2159</v>
      </c>
      <c r="E57" s="63">
        <v>46081</v>
      </c>
      <c r="F57" s="63" t="s">
        <v>2160</v>
      </c>
      <c r="G57" s="63"/>
      <c r="H57" s="69" t="s">
        <v>2161</v>
      </c>
    </row>
    <row r="58" spans="1:8" s="69" customFormat="1">
      <c r="A58" s="63" t="s">
        <v>2162</v>
      </c>
      <c r="B58" s="63" t="s">
        <v>2163</v>
      </c>
      <c r="C58" s="64" t="s">
        <v>2164</v>
      </c>
      <c r="D58" s="63" t="s">
        <v>787</v>
      </c>
      <c r="E58" s="63">
        <v>46083</v>
      </c>
      <c r="F58" s="63" t="s">
        <v>2165</v>
      </c>
      <c r="G58" s="63"/>
      <c r="H58" s="69" t="s">
        <v>2166</v>
      </c>
    </row>
    <row r="59" spans="1:8" s="69" customFormat="1">
      <c r="A59" s="63" t="s">
        <v>2167</v>
      </c>
      <c r="B59" s="63" t="s">
        <v>2168</v>
      </c>
      <c r="C59" s="64" t="s">
        <v>2169</v>
      </c>
      <c r="D59" s="63" t="s">
        <v>2170</v>
      </c>
      <c r="E59" s="63">
        <v>46055</v>
      </c>
      <c r="F59" s="63" t="s">
        <v>2171</v>
      </c>
      <c r="G59" s="63"/>
      <c r="H59" s="92" t="s">
        <v>2172</v>
      </c>
    </row>
    <row r="60" spans="1:8" s="69" customFormat="1">
      <c r="A60" s="63" t="s">
        <v>2173</v>
      </c>
      <c r="B60" s="63" t="s">
        <v>2174</v>
      </c>
      <c r="C60" s="64" t="s">
        <v>2175</v>
      </c>
      <c r="D60" s="63" t="s">
        <v>2176</v>
      </c>
      <c r="E60" s="63">
        <v>46057</v>
      </c>
      <c r="F60" s="63" t="s">
        <v>2177</v>
      </c>
      <c r="G60" s="63"/>
      <c r="H60" s="69" t="s">
        <v>2178</v>
      </c>
    </row>
    <row r="61" spans="1:8" s="69" customFormat="1">
      <c r="A61" s="63" t="s">
        <v>2179</v>
      </c>
      <c r="B61" s="63" t="s">
        <v>2180</v>
      </c>
      <c r="C61" s="64" t="s">
        <v>2181</v>
      </c>
      <c r="D61" s="63" t="s">
        <v>2170</v>
      </c>
      <c r="E61" s="63">
        <v>46063</v>
      </c>
      <c r="F61" s="63" t="s">
        <v>2182</v>
      </c>
      <c r="G61" s="63" t="s">
        <v>2183</v>
      </c>
      <c r="H61" s="69" t="s">
        <v>2184</v>
      </c>
    </row>
    <row r="62" spans="1:8" s="69" customFormat="1">
      <c r="A62" s="63" t="s">
        <v>2185</v>
      </c>
      <c r="B62" s="63" t="s">
        <v>1362</v>
      </c>
      <c r="C62" s="64" t="s">
        <v>2186</v>
      </c>
      <c r="D62" s="63" t="s">
        <v>2170</v>
      </c>
      <c r="E62" s="63">
        <v>46063</v>
      </c>
      <c r="F62" s="63" t="s">
        <v>2187</v>
      </c>
      <c r="G62" s="63" t="s">
        <v>2183</v>
      </c>
      <c r="H62" s="69" t="s">
        <v>2188</v>
      </c>
    </row>
    <row r="63" spans="1:8" s="69" customFormat="1">
      <c r="A63" s="63" t="s">
        <v>2189</v>
      </c>
      <c r="B63" s="63" t="s">
        <v>1362</v>
      </c>
      <c r="C63" s="64" t="s">
        <v>2190</v>
      </c>
      <c r="D63" s="63" t="s">
        <v>2170</v>
      </c>
      <c r="E63" s="65">
        <v>46063</v>
      </c>
      <c r="F63" s="63" t="s">
        <v>2191</v>
      </c>
      <c r="G63" s="63" t="s">
        <v>2183</v>
      </c>
      <c r="H63" s="93" t="s">
        <v>2192</v>
      </c>
    </row>
    <row r="64" spans="1:8" s="69" customFormat="1">
      <c r="A64" s="63" t="s">
        <v>2193</v>
      </c>
      <c r="B64" s="63" t="s">
        <v>2194</v>
      </c>
      <c r="C64" s="75" t="s">
        <v>2195</v>
      </c>
      <c r="D64" s="63" t="s">
        <v>2196</v>
      </c>
      <c r="E64" s="65">
        <v>46031</v>
      </c>
      <c r="F64" s="63" t="s">
        <v>2197</v>
      </c>
      <c r="G64" s="63" t="s">
        <v>2198</v>
      </c>
      <c r="H64" s="94" t="s">
        <v>2199</v>
      </c>
    </row>
    <row r="65" spans="1:8" s="69" customFormat="1">
      <c r="A65" s="63" t="s">
        <v>2200</v>
      </c>
      <c r="B65" s="63" t="s">
        <v>2180</v>
      </c>
      <c r="C65" s="64" t="s">
        <v>2201</v>
      </c>
      <c r="D65" s="63" t="s">
        <v>2170</v>
      </c>
      <c r="E65" s="63">
        <v>46063</v>
      </c>
      <c r="F65" s="63" t="s">
        <v>2202</v>
      </c>
      <c r="G65" s="63" t="s">
        <v>2183</v>
      </c>
      <c r="H65" s="69" t="s">
        <v>2203</v>
      </c>
    </row>
    <row r="66" spans="1:8" s="69" customFormat="1">
      <c r="A66" s="63" t="s">
        <v>2204</v>
      </c>
      <c r="B66" s="63" t="s">
        <v>1362</v>
      </c>
      <c r="C66" s="64" t="s">
        <v>2205</v>
      </c>
      <c r="D66" s="63" t="s">
        <v>2170</v>
      </c>
      <c r="E66" s="63">
        <v>46063</v>
      </c>
      <c r="F66" s="63" t="s">
        <v>2206</v>
      </c>
      <c r="G66" s="63" t="s">
        <v>2183</v>
      </c>
      <c r="H66" s="69" t="s">
        <v>2207</v>
      </c>
    </row>
    <row r="67" spans="1:8" s="69" customFormat="1">
      <c r="A67" s="63" t="s">
        <v>2208</v>
      </c>
      <c r="B67" s="63" t="s">
        <v>2180</v>
      </c>
      <c r="C67" s="64" t="s">
        <v>2209</v>
      </c>
      <c r="D67" s="63" t="s">
        <v>2170</v>
      </c>
      <c r="E67" s="65">
        <v>46063</v>
      </c>
      <c r="F67" s="63" t="s">
        <v>2210</v>
      </c>
      <c r="G67" s="63" t="s">
        <v>2183</v>
      </c>
      <c r="H67" s="93" t="s">
        <v>2211</v>
      </c>
    </row>
    <row r="68" spans="1:8" s="69" customFormat="1">
      <c r="A68" s="63" t="s">
        <v>2199</v>
      </c>
      <c r="B68" s="63" t="s">
        <v>2212</v>
      </c>
      <c r="C68" s="75" t="s">
        <v>2195</v>
      </c>
      <c r="D68" s="63" t="s">
        <v>2196</v>
      </c>
      <c r="E68" s="65">
        <v>46031</v>
      </c>
      <c r="F68" s="63" t="s">
        <v>2198</v>
      </c>
      <c r="G68" s="63" t="s">
        <v>2198</v>
      </c>
      <c r="H68" s="94" t="s">
        <v>2199</v>
      </c>
    </row>
    <row r="69" spans="1:8" s="69" customFormat="1">
      <c r="A69" s="63" t="s">
        <v>2213</v>
      </c>
      <c r="B69" s="63" t="s">
        <v>2180</v>
      </c>
      <c r="C69" s="64" t="s">
        <v>2214</v>
      </c>
      <c r="D69" s="63"/>
      <c r="E69" s="63">
        <v>46063</v>
      </c>
      <c r="F69" s="63" t="s">
        <v>2215</v>
      </c>
      <c r="G69" s="63" t="s">
        <v>2183</v>
      </c>
    </row>
    <row r="70" spans="1:8" s="69" customFormat="1">
      <c r="A70" s="63" t="s">
        <v>2216</v>
      </c>
      <c r="B70" s="63" t="s">
        <v>2180</v>
      </c>
      <c r="C70" s="64" t="s">
        <v>2217</v>
      </c>
      <c r="D70" s="63"/>
      <c r="E70" s="63">
        <v>46063</v>
      </c>
      <c r="F70" s="63" t="s">
        <v>2218</v>
      </c>
      <c r="G70" s="63" t="s">
        <v>2183</v>
      </c>
    </row>
    <row r="71" spans="1:8" s="69" customFormat="1">
      <c r="A71" s="63" t="s">
        <v>2219</v>
      </c>
      <c r="B71" s="63" t="s">
        <v>1362</v>
      </c>
      <c r="C71" s="64" t="s">
        <v>2220</v>
      </c>
      <c r="D71" s="63"/>
      <c r="E71" s="65">
        <v>46063</v>
      </c>
      <c r="F71" s="63" t="s">
        <v>2221</v>
      </c>
      <c r="G71" s="63" t="s">
        <v>2183</v>
      </c>
      <c r="H71" s="93"/>
    </row>
    <row r="72" spans="1:8" s="69" customFormat="1">
      <c r="A72" s="63" t="s">
        <v>2222</v>
      </c>
      <c r="B72" s="63" t="s">
        <v>1362</v>
      </c>
      <c r="C72" s="75" t="s">
        <v>2223</v>
      </c>
      <c r="D72" s="63"/>
      <c r="E72" s="65">
        <v>46063</v>
      </c>
      <c r="F72" s="63" t="s">
        <v>2224</v>
      </c>
      <c r="G72" s="63" t="s">
        <v>2183</v>
      </c>
      <c r="H72" s="94"/>
    </row>
    <row r="73" spans="1:8" s="69" customFormat="1">
      <c r="A73" s="63" t="s">
        <v>2225</v>
      </c>
      <c r="B73" s="63" t="s">
        <v>1362</v>
      </c>
      <c r="C73" s="64" t="s">
        <v>2226</v>
      </c>
      <c r="D73" s="63"/>
      <c r="E73" s="63">
        <v>46063</v>
      </c>
      <c r="F73" s="63" t="s">
        <v>2227</v>
      </c>
      <c r="G73" s="63" t="s">
        <v>2183</v>
      </c>
    </row>
    <row r="74" spans="1:8" s="69" customFormat="1">
      <c r="A74" s="63" t="s">
        <v>2228</v>
      </c>
      <c r="B74" s="63" t="s">
        <v>1362</v>
      </c>
      <c r="C74" s="64" t="s">
        <v>2229</v>
      </c>
      <c r="D74" s="63"/>
      <c r="E74" s="63">
        <v>46063</v>
      </c>
      <c r="F74" s="63" t="s">
        <v>2230</v>
      </c>
      <c r="G74" s="63" t="s">
        <v>2183</v>
      </c>
    </row>
    <row r="75" spans="1:8" s="69" customFormat="1">
      <c r="A75" s="69" t="s">
        <v>2231</v>
      </c>
      <c r="B75" s="69" t="s">
        <v>2232</v>
      </c>
      <c r="C75" s="76" t="s">
        <v>2233</v>
      </c>
      <c r="D75" s="69" t="s">
        <v>2234</v>
      </c>
      <c r="E75" s="95">
        <v>46051</v>
      </c>
      <c r="F75" s="69" t="s">
        <v>2235</v>
      </c>
      <c r="H75" s="69" t="s">
        <v>2236</v>
      </c>
    </row>
    <row r="76" spans="1:8" s="69" customFormat="1">
      <c r="A76" s="69" t="s">
        <v>2237</v>
      </c>
      <c r="B76" s="70" t="s">
        <v>2238</v>
      </c>
      <c r="C76" s="76" t="s">
        <v>2239</v>
      </c>
      <c r="E76" s="95">
        <v>46031</v>
      </c>
      <c r="F76" s="69" t="s">
        <v>2240</v>
      </c>
      <c r="H76" s="69" t="s">
        <v>2241</v>
      </c>
    </row>
    <row r="77" spans="1:8" s="69" customFormat="1">
      <c r="A77" s="69" t="s">
        <v>2242</v>
      </c>
      <c r="B77" s="69" t="s">
        <v>2243</v>
      </c>
      <c r="C77" s="76" t="s">
        <v>2244</v>
      </c>
      <c r="E77" s="95">
        <v>46081</v>
      </c>
      <c r="F77" s="69" t="s">
        <v>2245</v>
      </c>
      <c r="H77" s="69" t="s">
        <v>2246</v>
      </c>
    </row>
    <row r="78" spans="1:8" s="69" customFormat="1">
      <c r="A78" s="69" t="s">
        <v>2247</v>
      </c>
      <c r="B78" s="69" t="s">
        <v>1652</v>
      </c>
      <c r="C78" s="76" t="s">
        <v>2248</v>
      </c>
      <c r="E78" s="95">
        <v>46081</v>
      </c>
      <c r="F78" s="69" t="s">
        <v>2249</v>
      </c>
      <c r="H78" s="69" t="s">
        <v>2250</v>
      </c>
    </row>
    <row r="79" spans="1:8" s="69" customFormat="1">
      <c r="A79" s="69" t="s">
        <v>2251</v>
      </c>
      <c r="B79" s="69" t="s">
        <v>1362</v>
      </c>
      <c r="C79" s="76" t="s">
        <v>2252</v>
      </c>
      <c r="E79" s="95">
        <v>46059</v>
      </c>
      <c r="F79" s="69" t="s">
        <v>2253</v>
      </c>
      <c r="H79" s="69" t="s">
        <v>2254</v>
      </c>
    </row>
    <row r="80" spans="1:8" s="69" customFormat="1">
      <c r="A80" s="69" t="s">
        <v>2255</v>
      </c>
      <c r="B80" s="69" t="s">
        <v>2256</v>
      </c>
      <c r="C80" s="76" t="s">
        <v>2257</v>
      </c>
      <c r="D80" s="69" t="s">
        <v>2170</v>
      </c>
      <c r="E80" s="95">
        <v>46105</v>
      </c>
      <c r="F80" s="69" t="s">
        <v>2258</v>
      </c>
      <c r="H80" s="71" t="s">
        <v>2259</v>
      </c>
    </row>
    <row r="81" spans="1:9" s="69" customFormat="1">
      <c r="A81" s="69" t="s">
        <v>2260</v>
      </c>
      <c r="B81" s="69" t="s">
        <v>2261</v>
      </c>
      <c r="C81" s="76" t="s">
        <v>2262</v>
      </c>
      <c r="D81" s="69" t="s">
        <v>2170</v>
      </c>
      <c r="E81" s="95">
        <v>46016</v>
      </c>
      <c r="F81" s="69" t="s">
        <v>2263</v>
      </c>
      <c r="H81" s="71" t="s">
        <v>2264</v>
      </c>
    </row>
    <row r="82" spans="1:9" s="69" customFormat="1">
      <c r="A82" s="69" t="s">
        <v>2265</v>
      </c>
      <c r="B82" s="69" t="s">
        <v>2266</v>
      </c>
      <c r="C82" s="76" t="s">
        <v>2267</v>
      </c>
      <c r="D82" s="69" t="s">
        <v>2170</v>
      </c>
      <c r="E82" s="95">
        <v>46015</v>
      </c>
      <c r="F82" s="69" t="s">
        <v>2198</v>
      </c>
      <c r="H82" s="71" t="s">
        <v>2268</v>
      </c>
    </row>
    <row r="83" spans="1:9" s="69" customFormat="1">
      <c r="A83" s="69" t="s">
        <v>2269</v>
      </c>
      <c r="B83" s="69" t="s">
        <v>1362</v>
      </c>
      <c r="C83" s="76" t="s">
        <v>2270</v>
      </c>
      <c r="D83" s="69" t="s">
        <v>2170</v>
      </c>
      <c r="E83" s="95">
        <v>46022</v>
      </c>
      <c r="F83" s="69" t="s">
        <v>37</v>
      </c>
      <c r="H83" s="71" t="s">
        <v>2271</v>
      </c>
    </row>
    <row r="84" spans="1:9" s="69" customFormat="1">
      <c r="A84" s="69" t="s">
        <v>2272</v>
      </c>
      <c r="B84" s="69" t="s">
        <v>2273</v>
      </c>
      <c r="C84" s="76" t="s">
        <v>2274</v>
      </c>
      <c r="D84" s="69" t="s">
        <v>2275</v>
      </c>
      <c r="E84" s="95">
        <v>46082</v>
      </c>
      <c r="F84" s="69" t="s">
        <v>2276</v>
      </c>
      <c r="H84" s="71" t="s">
        <v>2277</v>
      </c>
    </row>
    <row r="85" spans="1:9" s="69" customFormat="1">
      <c r="A85" s="69" t="s">
        <v>2278</v>
      </c>
      <c r="B85" s="69" t="s">
        <v>2279</v>
      </c>
      <c r="C85" s="76" t="s">
        <v>2280</v>
      </c>
      <c r="D85" s="69" t="s">
        <v>2281</v>
      </c>
      <c r="E85" s="95">
        <v>46049</v>
      </c>
      <c r="F85" s="69" t="s">
        <v>2282</v>
      </c>
      <c r="H85" s="71" t="s">
        <v>2283</v>
      </c>
    </row>
    <row r="86" spans="1:9" s="69" customFormat="1">
      <c r="A86" s="69" t="s">
        <v>2284</v>
      </c>
      <c r="B86" s="69" t="s">
        <v>2285</v>
      </c>
      <c r="C86" s="76" t="s">
        <v>2286</v>
      </c>
      <c r="D86" s="69" t="s">
        <v>2287</v>
      </c>
      <c r="E86" s="95">
        <v>46042</v>
      </c>
      <c r="F86" s="69" t="s">
        <v>37</v>
      </c>
      <c r="H86" s="71" t="s">
        <v>2288</v>
      </c>
    </row>
    <row r="87" spans="1:9" s="69" customFormat="1">
      <c r="A87" s="69" t="s">
        <v>2289</v>
      </c>
      <c r="B87" s="69" t="s">
        <v>2290</v>
      </c>
      <c r="C87" s="76" t="s">
        <v>2291</v>
      </c>
      <c r="D87" s="69" t="s">
        <v>2170</v>
      </c>
      <c r="E87" s="95">
        <v>46032</v>
      </c>
      <c r="F87" s="69" t="s">
        <v>889</v>
      </c>
      <c r="H87" s="69" t="s">
        <v>2292</v>
      </c>
    </row>
    <row r="88" spans="1:9" s="69" customFormat="1">
      <c r="A88" s="69" t="s">
        <v>2293</v>
      </c>
      <c r="B88" s="69" t="s">
        <v>2294</v>
      </c>
      <c r="C88" s="76" t="s">
        <v>2295</v>
      </c>
      <c r="D88" s="69" t="s">
        <v>2170</v>
      </c>
      <c r="E88" s="95">
        <v>46009</v>
      </c>
      <c r="F88" s="69" t="s">
        <v>2198</v>
      </c>
      <c r="H88" s="71" t="s">
        <v>2296</v>
      </c>
    </row>
    <row r="89" spans="1:9" s="69" customFormat="1">
      <c r="A89" s="69" t="s">
        <v>2297</v>
      </c>
      <c r="B89" s="69" t="s">
        <v>2266</v>
      </c>
      <c r="C89" s="76" t="s">
        <v>2298</v>
      </c>
      <c r="D89" s="69" t="s">
        <v>2170</v>
      </c>
      <c r="E89" s="95">
        <v>46014</v>
      </c>
      <c r="F89" s="69" t="s">
        <v>2198</v>
      </c>
      <c r="H89" s="71" t="s">
        <v>2299</v>
      </c>
    </row>
    <row r="90" spans="1:9" s="69" customFormat="1">
      <c r="A90" s="69" t="s">
        <v>2300</v>
      </c>
      <c r="B90" s="69" t="s">
        <v>2266</v>
      </c>
      <c r="C90" s="76" t="s">
        <v>2301</v>
      </c>
      <c r="D90" s="69" t="s">
        <v>2170</v>
      </c>
      <c r="E90" s="95">
        <v>46010</v>
      </c>
      <c r="F90" s="69" t="s">
        <v>2198</v>
      </c>
      <c r="H90" s="71" t="s">
        <v>2302</v>
      </c>
    </row>
    <row r="91" spans="1:9" s="69" customFormat="1">
      <c r="A91" s="69" t="s">
        <v>2303</v>
      </c>
      <c r="B91" s="69" t="s">
        <v>2304</v>
      </c>
      <c r="C91" s="76" t="s">
        <v>2305</v>
      </c>
      <c r="D91" s="69" t="s">
        <v>2170</v>
      </c>
      <c r="E91" s="95">
        <v>46081</v>
      </c>
      <c r="F91" s="69" t="s">
        <v>2306</v>
      </c>
      <c r="H91" s="71" t="s">
        <v>2307</v>
      </c>
    </row>
    <row r="92" spans="1:9" s="69" customFormat="1">
      <c r="A92" s="69" t="s">
        <v>2308</v>
      </c>
      <c r="B92" s="69" t="s">
        <v>2309</v>
      </c>
      <c r="C92" s="76" t="s">
        <v>2310</v>
      </c>
      <c r="D92" s="69" t="s">
        <v>2311</v>
      </c>
      <c r="E92" s="95">
        <v>46096</v>
      </c>
      <c r="F92" s="69" t="s">
        <v>2312</v>
      </c>
      <c r="H92" s="71" t="s">
        <v>2313</v>
      </c>
    </row>
    <row r="93" spans="1:9" ht="15">
      <c r="A93" t="s">
        <v>2314</v>
      </c>
      <c r="C93" s="9" t="s">
        <v>2315</v>
      </c>
      <c r="D93" t="s">
        <v>2316</v>
      </c>
      <c r="E93" t="s">
        <v>196</v>
      </c>
      <c r="F93" t="s">
        <v>2317</v>
      </c>
      <c r="G93" t="s">
        <v>37</v>
      </c>
      <c r="H93" t="s">
        <v>2318</v>
      </c>
    </row>
    <row r="94" spans="1:9" ht="15">
      <c r="A94" t="s">
        <v>2319</v>
      </c>
      <c r="C94" s="9" t="s">
        <v>2320</v>
      </c>
      <c r="D94" t="s">
        <v>2321</v>
      </c>
      <c r="E94" t="s">
        <v>196</v>
      </c>
      <c r="F94"/>
      <c r="G94" t="s">
        <v>37</v>
      </c>
      <c r="H94" t="s">
        <v>2322</v>
      </c>
    </row>
    <row r="95" spans="1:9" ht="15">
      <c r="A95" t="s">
        <v>2323</v>
      </c>
      <c r="B95" t="s">
        <v>2324</v>
      </c>
      <c r="C95" s="9" t="s">
        <v>2325</v>
      </c>
      <c r="D95"/>
      <c r="E95" t="s">
        <v>2326</v>
      </c>
      <c r="F95" t="s">
        <v>2327</v>
      </c>
      <c r="G95"/>
      <c r="H95" t="s">
        <v>2328</v>
      </c>
      <c r="I95"/>
    </row>
    <row r="96" spans="1:9" ht="15">
      <c r="A96" t="s">
        <v>2329</v>
      </c>
      <c r="B96" t="s">
        <v>2324</v>
      </c>
      <c r="C96" s="9" t="s">
        <v>2330</v>
      </c>
      <c r="D96"/>
      <c r="E96" t="s">
        <v>2331</v>
      </c>
      <c r="F96" t="s">
        <v>2332</v>
      </c>
      <c r="G96"/>
      <c r="H96" t="s">
        <v>2328</v>
      </c>
      <c r="I96"/>
    </row>
    <row r="97" spans="1:26" ht="18.75">
      <c r="A97" t="s">
        <v>2333</v>
      </c>
      <c r="C97" s="9" t="s">
        <v>2334</v>
      </c>
      <c r="D97" t="s">
        <v>2335</v>
      </c>
      <c r="E97" t="s">
        <v>196</v>
      </c>
      <c r="F97" t="s">
        <v>235</v>
      </c>
      <c r="G97" t="s">
        <v>2082</v>
      </c>
      <c r="H97" t="s">
        <v>2336</v>
      </c>
      <c r="I97"/>
      <c r="J97"/>
      <c r="K97" s="104" t="s">
        <v>2337</v>
      </c>
    </row>
    <row r="98" spans="1:26" ht="15">
      <c r="A98" t="s">
        <v>2338</v>
      </c>
      <c r="C98" s="9" t="s">
        <v>297</v>
      </c>
      <c r="D98" t="s">
        <v>2339</v>
      </c>
      <c r="E98" t="s">
        <v>196</v>
      </c>
      <c r="F98" t="s">
        <v>235</v>
      </c>
      <c r="G98" t="s">
        <v>159</v>
      </c>
      <c r="H98" t="s">
        <v>2340</v>
      </c>
      <c r="I98"/>
      <c r="J98" t="s">
        <v>2341</v>
      </c>
      <c r="K98"/>
      <c r="L98"/>
      <c r="M98"/>
      <c r="N98"/>
      <c r="O98"/>
      <c r="P98"/>
      <c r="Q98"/>
      <c r="R98"/>
      <c r="S98"/>
      <c r="T98"/>
      <c r="U98"/>
      <c r="V98"/>
      <c r="W98"/>
      <c r="X98"/>
      <c r="Y98"/>
      <c r="Z98" s="55"/>
    </row>
    <row r="99" spans="1:26" ht="15">
      <c r="A99" t="s">
        <v>2342</v>
      </c>
      <c r="C99" s="9" t="s">
        <v>297</v>
      </c>
      <c r="D99" t="s">
        <v>2343</v>
      </c>
      <c r="E99" t="s">
        <v>196</v>
      </c>
      <c r="F99" t="s">
        <v>235</v>
      </c>
      <c r="G99" t="s">
        <v>402</v>
      </c>
      <c r="H99" t="s">
        <v>2344</v>
      </c>
      <c r="I99"/>
      <c r="J99"/>
      <c r="K99"/>
      <c r="L99"/>
      <c r="M99"/>
      <c r="N99"/>
      <c r="O99"/>
      <c r="P99"/>
      <c r="Q99"/>
      <c r="R99"/>
      <c r="S99"/>
      <c r="T99"/>
      <c r="U99"/>
      <c r="V99"/>
      <c r="W99"/>
      <c r="X99"/>
      <c r="Y99"/>
      <c r="Z99" s="55"/>
    </row>
    <row r="100" spans="1:26" ht="15">
      <c r="A100" t="s">
        <v>2345</v>
      </c>
      <c r="C100" s="9" t="s">
        <v>2346</v>
      </c>
      <c r="D100" t="s">
        <v>2347</v>
      </c>
      <c r="E100" t="s">
        <v>196</v>
      </c>
      <c r="F100" t="s">
        <v>330</v>
      </c>
      <c r="G100" t="s">
        <v>159</v>
      </c>
      <c r="H100" t="s">
        <v>2348</v>
      </c>
      <c r="I100"/>
      <c r="J100"/>
      <c r="K100"/>
      <c r="L100"/>
      <c r="M100"/>
      <c r="N100"/>
      <c r="O100"/>
      <c r="P100"/>
      <c r="Q100"/>
      <c r="R100"/>
      <c r="S100"/>
      <c r="T100"/>
      <c r="U100"/>
      <c r="V100"/>
      <c r="W100"/>
      <c r="X100"/>
      <c r="Y100"/>
      <c r="Z100" s="55"/>
    </row>
    <row r="101" spans="1:26" ht="15">
      <c r="A101" t="s">
        <v>2349</v>
      </c>
      <c r="B101" t="s">
        <v>2350</v>
      </c>
      <c r="C101" s="9" t="s">
        <v>2351</v>
      </c>
      <c r="D101"/>
      <c r="E101"/>
      <c r="F101"/>
      <c r="G101"/>
      <c r="H101"/>
      <c r="I101" t="s">
        <v>363</v>
      </c>
      <c r="J101" t="s">
        <v>2352</v>
      </c>
      <c r="K101"/>
      <c r="L101"/>
      <c r="M101"/>
      <c r="N101"/>
      <c r="O101"/>
      <c r="P101"/>
      <c r="Q101"/>
      <c r="R101"/>
      <c r="S101"/>
      <c r="T101"/>
      <c r="U101"/>
      <c r="V101"/>
      <c r="W101"/>
      <c r="X101"/>
      <c r="Y101" s="55"/>
    </row>
    <row r="103" spans="1:26" ht="15">
      <c r="A103" s="144" t="s">
        <v>2353</v>
      </c>
      <c r="B103" s="144" t="s">
        <v>2354</v>
      </c>
      <c r="C103" s="144" t="s">
        <v>2355</v>
      </c>
      <c r="D103" s="144"/>
      <c r="E103" s="144" t="s">
        <v>2356</v>
      </c>
      <c r="F103" s="144" t="s">
        <v>623</v>
      </c>
      <c r="G103" s="144"/>
      <c r="H103" s="144"/>
      <c r="I103" s="144" t="s">
        <v>210</v>
      </c>
      <c r="J103" s="141" t="s">
        <v>2357</v>
      </c>
      <c r="K103" s="144"/>
      <c r="L103" s="144"/>
      <c r="M103" s="144"/>
      <c r="N103" s="144"/>
      <c r="O103" s="144"/>
      <c r="P103" s="141" t="s">
        <v>2357</v>
      </c>
      <c r="Q103" s="144"/>
      <c r="R103" s="144"/>
      <c r="S103" s="144"/>
      <c r="T103" s="144"/>
      <c r="U103" s="144"/>
      <c r="V103" s="144"/>
      <c r="W103" s="144"/>
      <c r="X103" s="144"/>
    </row>
  </sheetData>
  <conditionalFormatting sqref="A93">
    <cfRule type="duplicateValues" dxfId="17" priority="17"/>
    <cfRule type="duplicateValues" dxfId="16" priority="18"/>
  </conditionalFormatting>
  <conditionalFormatting sqref="A94">
    <cfRule type="duplicateValues" dxfId="15" priority="15"/>
    <cfRule type="duplicateValues" dxfId="14" priority="16"/>
  </conditionalFormatting>
  <conditionalFormatting sqref="A95:A96">
    <cfRule type="duplicateValues" dxfId="13" priority="13"/>
    <cfRule type="duplicateValues" dxfId="12" priority="14"/>
  </conditionalFormatting>
  <conditionalFormatting sqref="A97">
    <cfRule type="duplicateValues" dxfId="11" priority="11"/>
    <cfRule type="duplicateValues" dxfId="10" priority="12"/>
  </conditionalFormatting>
  <conditionalFormatting sqref="A98">
    <cfRule type="duplicateValues" dxfId="9" priority="9"/>
    <cfRule type="duplicateValues" dxfId="8" priority="10"/>
  </conditionalFormatting>
  <conditionalFormatting sqref="A99">
    <cfRule type="duplicateValues" dxfId="7" priority="7"/>
    <cfRule type="duplicateValues" dxfId="6" priority="8"/>
  </conditionalFormatting>
  <conditionalFormatting sqref="A100">
    <cfRule type="duplicateValues" dxfId="5" priority="5"/>
    <cfRule type="duplicateValues" dxfId="4" priority="6"/>
  </conditionalFormatting>
  <conditionalFormatting sqref="A101">
    <cfRule type="duplicateValues" dxfId="3" priority="3"/>
    <cfRule type="duplicateValues" dxfId="2" priority="4"/>
  </conditionalFormatting>
  <conditionalFormatting sqref="A103">
    <cfRule type="duplicateValues" dxfId="1" priority="1"/>
    <cfRule type="duplicateValues" dxfId="0" priority="2"/>
  </conditionalFormatting>
  <hyperlinks>
    <hyperlink ref="C2" r:id="rId1" xr:uid="{29929216-C33C-4FD1-AA0D-0DB9BDE469FD}"/>
    <hyperlink ref="C4" r:id="rId2" xr:uid="{77E07CF2-6158-40D6-8858-687710BF0166}"/>
    <hyperlink ref="C5" r:id="rId3" xr:uid="{21F2E696-5B8C-4127-8F79-DCAA5164CB06}"/>
    <hyperlink ref="C6" r:id="rId4" xr:uid="{4673910D-F10E-4747-AF30-B578C10E00BD}"/>
    <hyperlink ref="C7" r:id="rId5" xr:uid="{5723589B-9D18-4D38-8969-2F6B37DC4202}"/>
    <hyperlink ref="C8" r:id="rId6" xr:uid="{BBB6516C-558B-445E-AFBF-D1C7EAD99AF9}"/>
    <hyperlink ref="C9" r:id="rId7" xr:uid="{1A21BE35-EAA1-4ADC-BAFB-7888AFA50524}"/>
    <hyperlink ref="C10" r:id="rId8" xr:uid="{FDE49709-0AD4-4B6C-9FFC-3BF89383BC6A}"/>
    <hyperlink ref="C11" r:id="rId9" xr:uid="{8849598D-1F3D-4BE8-918B-FDAFC85EFC9D}"/>
    <hyperlink ref="C12" r:id="rId10" xr:uid="{54DA4D8A-AF3E-4D19-ACEB-0B4ADEF2342D}"/>
    <hyperlink ref="C13" r:id="rId11" xr:uid="{CD0AD10D-FF25-409D-A553-FD6D424AAD65}"/>
    <hyperlink ref="C14" r:id="rId12" xr:uid="{09419B1E-694E-4E79-8A24-C65A036FCEB9}"/>
    <hyperlink ref="C15" r:id="rId13" xr:uid="{C19CAA46-802F-41EF-980F-4C6FBDCD559B}"/>
    <hyperlink ref="C16" r:id="rId14" xr:uid="{5B8CF961-CCF0-4F77-8A96-B60D58C3CC6B}"/>
    <hyperlink ref="C17" r:id="rId15" xr:uid="{ECC0DAA4-56CE-4001-8715-AE3B06B29C14}"/>
    <hyperlink ref="C18" r:id="rId16" xr:uid="{5B4323E7-AE24-4551-8192-8F7A6904CAAB}"/>
    <hyperlink ref="C19" r:id="rId17" xr:uid="{110F94E7-EDC8-4179-844A-730FA4BAEC35}"/>
    <hyperlink ref="C20" r:id="rId18" xr:uid="{B413BBC5-C586-4BB1-8666-34727425853A}"/>
    <hyperlink ref="C3" r:id="rId19" xr:uid="{A8E552D5-F506-457F-BF30-E0480C9D39CD}"/>
    <hyperlink ref="C21" r:id="rId20" xr:uid="{2D9F7C38-9038-4B99-B05D-E7D775C9612D}"/>
    <hyperlink ref="C22" r:id="rId21" xr:uid="{2FE7DDE0-5F10-402A-AFCB-F525715E6E2D}"/>
    <hyperlink ref="C23" r:id="rId22" xr:uid="{30AD7095-1871-4545-9C24-CB1DB213FEB4}"/>
    <hyperlink ref="C24" r:id="rId23" xr:uid="{4CD9B516-454A-44FC-90EF-F922926D16C3}"/>
    <hyperlink ref="C25" r:id="rId24" xr:uid="{1BBBA91D-AC4E-4238-9240-94CF4F94EE5D}"/>
    <hyperlink ref="C26" r:id="rId25" xr:uid="{42796347-24DA-4A6C-95DB-F883105FC5D9}"/>
    <hyperlink ref="C27" r:id="rId26" xr:uid="{2F4DAD60-E08F-40E2-AB9E-A692432F3BBB}"/>
    <hyperlink ref="C28" r:id="rId27" xr:uid="{7A57DE0D-628E-406A-9DB3-94BFFA9EE35B}"/>
    <hyperlink ref="C29" r:id="rId28" xr:uid="{BCCA9000-5EA3-4E1F-ADEB-20A82B2CF771}"/>
    <hyperlink ref="C30" r:id="rId29" xr:uid="{45081F0D-7BA1-4817-A25C-4CC0A3B51AA9}"/>
    <hyperlink ref="C31" r:id="rId30" xr:uid="{428CDE59-9968-472E-AFCE-646383B1AE63}"/>
    <hyperlink ref="C32" r:id="rId31" xr:uid="{119B1E37-BCE1-493B-A680-3F49E50C91A6}"/>
    <hyperlink ref="C33" r:id="rId32" xr:uid="{22C2EA7E-16BC-4B9A-B1B4-A7E375E2C0D0}"/>
    <hyperlink ref="C34" r:id="rId33" xr:uid="{71FAB160-8CBF-4AA1-A05A-C393D7BC449D}"/>
    <hyperlink ref="C35" r:id="rId34" xr:uid="{CD79DD64-4291-46E1-B0F4-5E4F1425DE46}"/>
    <hyperlink ref="C36" r:id="rId35" xr:uid="{D201B287-3518-4EDB-8147-C20AEAA2A2BD}"/>
    <hyperlink ref="C37" r:id="rId36" xr:uid="{D6647855-D770-4BB9-B3C9-DE6AA74FFB52}"/>
    <hyperlink ref="C38" r:id="rId37" xr:uid="{57D758E3-4747-4172-BAA4-71D40F2EF368}"/>
    <hyperlink ref="C39" r:id="rId38" xr:uid="{AC5686AC-AF7D-4126-BF51-96FED478C542}"/>
    <hyperlink ref="C40" r:id="rId39" xr:uid="{7A0AA617-102D-4B86-ABA1-781736191A92}"/>
    <hyperlink ref="C41" r:id="rId40" xr:uid="{205725C2-8EC3-43E6-8938-8C1AD5621599}"/>
    <hyperlink ref="C43" r:id="rId41" xr:uid="{24B9E427-3C6A-4FCF-95B8-5C9227034F86}"/>
    <hyperlink ref="C42" r:id="rId42" xr:uid="{3B9CA86C-7A1B-40C6-AAEA-3D42FA04C9DA}"/>
    <hyperlink ref="C44" r:id="rId43" xr:uid="{BB459C1B-4337-4101-9C81-8AB1FA04AFFB}"/>
    <hyperlink ref="C45" r:id="rId44" xr:uid="{136E1D08-675F-49B4-A359-12AC57946FA9}"/>
    <hyperlink ref="C46" r:id="rId45" xr:uid="{CF1233D0-3C1C-43E8-A17B-F32E627C4920}"/>
    <hyperlink ref="C47" r:id="rId46" xr:uid="{5FAFB566-4B32-47CE-A0CA-B4D52DE7C218}"/>
    <hyperlink ref="C49" r:id="rId47" xr:uid="{A1E6E7F6-230E-4F96-A5D7-78DB24A9A6E1}"/>
    <hyperlink ref="C50" r:id="rId48" xr:uid="{D75407E7-7F5E-4D56-8423-B6CACCD30746}"/>
    <hyperlink ref="C51" r:id="rId49" xr:uid="{371A864C-258B-4D1B-BB33-6426EA98BAF5}"/>
    <hyperlink ref="C52" r:id="rId50" xr:uid="{7D2C6D81-B5CD-414C-8929-778C9B425D05}"/>
    <hyperlink ref="C53" r:id="rId51" xr:uid="{DF288A19-FAF9-42CF-8A22-B949ED76FF38}"/>
    <hyperlink ref="C48" r:id="rId52" xr:uid="{EF439038-D148-442B-A5F4-0E491B7E24A0}"/>
    <hyperlink ref="C54" r:id="rId53" xr:uid="{F2E91924-C759-460A-9CAA-829BDC56F390}"/>
    <hyperlink ref="C55" r:id="rId54" location=":~:text=Leica%20is%20folding%20its%20women-oriented%20photography%20grant%20in,Women%20Grant%2C%20which%20is%20open%20to%20photographers%20worldwide." xr:uid="{24A10CB3-956A-44B3-8CD0-C6D160474980}"/>
    <hyperlink ref="C57" r:id="rId55" xr:uid="{8B775AD5-73E5-4589-BB21-A70AC2986232}"/>
    <hyperlink ref="C58" r:id="rId56" xr:uid="{C40FC25F-8473-4F5A-949B-40479907710B}"/>
    <hyperlink ref="C59" r:id="rId57" xr:uid="{1B8946CC-8751-4D63-B897-84D20707D7F4}"/>
    <hyperlink ref="C60" r:id="rId58" xr:uid="{1BBAD39F-7096-4FDA-AC09-B54D8493CB4A}"/>
    <hyperlink ref="C61" r:id="rId59" xr:uid="{B64B1FBC-2C4D-4FC1-9103-C9F3729B9140}"/>
    <hyperlink ref="C62" r:id="rId60" xr:uid="{702A5342-16AA-4BBA-A626-26A2C3293568}"/>
    <hyperlink ref="C63" r:id="rId61" xr:uid="{68658FF8-9324-43D5-B2D0-1BDC49E6145E}"/>
    <hyperlink ref="C64" r:id="rId62" xr:uid="{1283650D-5688-43D4-A666-EDEDC3FF9874}"/>
    <hyperlink ref="C65" r:id="rId63" xr:uid="{44E135A5-C280-47CA-95C8-B14E411AC108}"/>
    <hyperlink ref="C66" r:id="rId64" xr:uid="{278347E8-DC52-4213-BAC0-19CA9C08CD90}"/>
    <hyperlink ref="C67" r:id="rId65" xr:uid="{83BE31DB-D69E-4E96-A85B-1A60B0AFF5A9}"/>
    <hyperlink ref="C68" r:id="rId66" xr:uid="{CBCE8BFB-CF97-43B4-B056-9EAD880A4680}"/>
    <hyperlink ref="C69" r:id="rId67" xr:uid="{6724BA52-CF4D-4F28-9111-9A1B10F74BD0}"/>
    <hyperlink ref="C70" r:id="rId68" xr:uid="{68B353BB-BFDA-440D-A5C7-04245BC5722F}"/>
    <hyperlink ref="C71" r:id="rId69" xr:uid="{56E12EF0-121E-482E-91AB-30710715C07C}"/>
    <hyperlink ref="C72" r:id="rId70" xr:uid="{B877CD94-F089-4BDD-8B61-6DEF28631AF2}"/>
    <hyperlink ref="C73" r:id="rId71" xr:uid="{A5ED993D-9AE7-4BDC-9092-FC319FB77176}"/>
    <hyperlink ref="C74" r:id="rId72" xr:uid="{E12212A9-1770-485D-9637-54E7FD6C41E0}"/>
    <hyperlink ref="C75" r:id="rId73" xr:uid="{44C337A8-A5A9-4E58-9659-DC45EA1EBC8E}"/>
    <hyperlink ref="C76" r:id="rId74" xr:uid="{B65A0441-EC0C-41FE-BFE2-513840C358C1}"/>
    <hyperlink ref="C77" r:id="rId75" xr:uid="{B540B709-0A03-40A5-90D1-9359E867E4E4}"/>
    <hyperlink ref="C78" r:id="rId76" xr:uid="{20600794-F819-4D68-A7F1-802A844F9376}"/>
    <hyperlink ref="C79" r:id="rId77" xr:uid="{0DC1AFBC-0965-431C-88C8-0368C41907E6}"/>
    <hyperlink ref="C80" r:id="rId78" xr:uid="{014A3951-3D6A-4921-94CE-51E7412E6A04}"/>
    <hyperlink ref="C81" r:id="rId79" xr:uid="{BD7BEB70-07FD-4246-B823-329B7266480E}"/>
    <hyperlink ref="C82" r:id="rId80" xr:uid="{7A251962-B8F4-4C85-8C99-FD5AF77DC772}"/>
    <hyperlink ref="C83" r:id="rId81" xr:uid="{7085ADF6-FA3A-4F75-80AA-58D1FAEFC4B5}"/>
    <hyperlink ref="C84" r:id="rId82" xr:uid="{C8B2F33B-4E8E-4C6C-A2FB-BDD76BB8A529}"/>
    <hyperlink ref="C85" r:id="rId83" xr:uid="{54147725-A6DF-4831-9048-665E0827ECFB}"/>
    <hyperlink ref="C86" r:id="rId84" xr:uid="{A09493CE-35A2-45C5-B147-DB79B7222934}"/>
    <hyperlink ref="C87" r:id="rId85" xr:uid="{3E657D6B-E6B8-4E4B-B2E1-2D964A20954D}"/>
    <hyperlink ref="C88" r:id="rId86" xr:uid="{262AB67B-5EE2-4C02-84AD-333FA702C0CC}"/>
    <hyperlink ref="C89" r:id="rId87" xr:uid="{8474EC0D-3C11-413C-B071-F1C12AE7E8E6}"/>
    <hyperlink ref="C90" r:id="rId88" xr:uid="{B27C0E0E-6171-4A1B-A0ED-FAD7778F6606}"/>
    <hyperlink ref="C91" r:id="rId89" xr:uid="{AC386EA3-6568-4788-B373-024091C73884}"/>
    <hyperlink ref="C92" r:id="rId90" xr:uid="{DA01D0AB-6F13-4BB9-AC25-1D1B1C26F2EC}"/>
    <hyperlink ref="C93" r:id="rId91" xr:uid="{F24D8CB7-EDAA-42A9-A510-D406A615A315}"/>
    <hyperlink ref="C94" r:id="rId92" xr:uid="{28AF2CBF-779E-4BD5-94C5-A81D34A90E5A}"/>
    <hyperlink ref="C95" r:id="rId93" xr:uid="{9991C312-B38A-45D5-9E86-AFFEB574A222}"/>
    <hyperlink ref="C96" r:id="rId94" location=":~:text=To%20address%20youth%20unemployment%2C%20Accenture,well%20as%20broader%20business%20skills" xr:uid="{DD70709E-85DE-4B99-ACF3-511A0BC05219}"/>
    <hyperlink ref="C97" r:id="rId95" xr:uid="{DDE3DCFC-7378-48D4-B44A-2093A8D13CE3}"/>
    <hyperlink ref="C98" r:id="rId96" xr:uid="{6AFA6DAE-35C5-4533-AF6D-3234BF50E9EC}"/>
    <hyperlink ref="C99" r:id="rId97" xr:uid="{DEEAEE4A-4A8C-4081-B570-9CED50F46971}"/>
    <hyperlink ref="C100" r:id="rId98" xr:uid="{CDA007C4-D380-427A-8A5B-4DAD769AECF6}"/>
    <hyperlink ref="C101" r:id="rId99" xr:uid="{BC293844-B260-413A-AD20-FCA86A89DC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Statistics</vt:lpstr>
      <vt:lpstr>Submitted</vt:lpstr>
      <vt:lpstr>Grants</vt:lpstr>
      <vt:lpstr>From Automation</vt:lpstr>
      <vt:lpstr>For Fundraising</vt:lpstr>
      <vt:lpstr>Useful links</vt:lpstr>
      <vt:lpstr>Donations Subscriptions</vt:lpstr>
      <vt:lpstr>Not relevant-not qualified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Nancy W</dc:creator>
  <cp:keywords/>
  <dc:description/>
  <cp:lastModifiedBy>Njoroge Francis</cp:lastModifiedBy>
  <cp:revision/>
  <dcterms:created xsi:type="dcterms:W3CDTF">2025-07-24T07:16:38Z</dcterms:created>
  <dcterms:modified xsi:type="dcterms:W3CDTF">2026-03-10T05:44:59Z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446DFC49BA0F48A49AE8B1BB53434813_12</vt:lpwstr>
  </property>
  <property fmtid="{D5CDD505-2E9C-101B-9397-08002B2CF9AE}" pid="3" name="KSOProductBuildVer">
    <vt:lpwstr>2057-12.2.0.21546</vt:lpwstr>
  </property>
</Properties>
</file>